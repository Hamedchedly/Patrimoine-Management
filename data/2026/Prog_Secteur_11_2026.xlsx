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Hamed\Downloads\"/>
    </mc:Choice>
  </mc:AlternateContent>
  <xr:revisionPtr revIDLastSave="0" documentId="13_ncr:1_{606C68DB-7570-420E-B72F-DEA7DFD75AD4}" xr6:coauthVersionLast="47" xr6:coauthVersionMax="47" xr10:uidLastSave="{00000000-0000-0000-0000-000000000000}"/>
  <bookViews>
    <workbookView xWindow="8904" yWindow="0" windowWidth="21912" windowHeight="16656" firstSheet="1" activeTab="1" xr2:uid="{00000000-000D-0000-FFFF-FFFF00000000}"/>
  </bookViews>
  <sheets>
    <sheet name="Prog 2025" sheetId="8" state="hidden" r:id="rId1"/>
    <sheet name="Prog 2026" sheetId="23" r:id="rId2"/>
  </sheets>
  <definedNames>
    <definedName name="_xlnm._FilterDatabase" localSheetId="0" hidden="1">'Prog 2025'!$A$2:$S$97</definedName>
    <definedName name="_xlnm._FilterDatabase" localSheetId="1" hidden="1">'Prog 2026'!$A$2:$U$119</definedName>
    <definedName name="Prog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3" i="23" l="1"/>
  <c r="Q123" i="23"/>
  <c r="P123" i="23"/>
  <c r="O123" i="23"/>
  <c r="N123" i="23"/>
  <c r="M123" i="23"/>
  <c r="R122" i="23"/>
  <c r="Q122" i="23"/>
  <c r="P122" i="23"/>
  <c r="O122" i="23"/>
  <c r="O1" i="23" s="1"/>
  <c r="N122" i="23"/>
  <c r="M122" i="23"/>
  <c r="R121" i="23"/>
  <c r="Q121" i="23"/>
  <c r="Q1" i="23" s="1"/>
  <c r="P121" i="23"/>
  <c r="P1" i="23" s="1"/>
  <c r="O121" i="23"/>
  <c r="N121" i="23"/>
  <c r="M121" i="23"/>
  <c r="E119" i="23"/>
  <c r="D119" i="23"/>
  <c r="B119" i="23" a="1"/>
  <c r="B119" i="23" s="1"/>
  <c r="U118" i="23"/>
  <c r="E118" i="23"/>
  <c r="D118" i="23"/>
  <c r="B118" i="23" a="1"/>
  <c r="B118" i="23" s="1"/>
  <c r="U117" i="23"/>
  <c r="K117" i="23"/>
  <c r="U116" i="23"/>
  <c r="K116" i="23"/>
  <c r="E116" i="23"/>
  <c r="D116" i="23"/>
  <c r="B116" i="23" a="1"/>
  <c r="B116" i="23" s="1"/>
  <c r="U115" i="23"/>
  <c r="K115" i="23"/>
  <c r="E115" i="23"/>
  <c r="D115" i="23"/>
  <c r="B115" i="23" a="1"/>
  <c r="B115" i="23" s="1"/>
  <c r="U114" i="23"/>
  <c r="K114" i="23"/>
  <c r="E114" i="23"/>
  <c r="D114" i="23"/>
  <c r="B114" i="23" a="1"/>
  <c r="B114" i="23" s="1"/>
  <c r="U113" i="23"/>
  <c r="K113" i="23"/>
  <c r="E113" i="23"/>
  <c r="D113" i="23"/>
  <c r="B113" i="23" a="1"/>
  <c r="B113" i="23" s="1"/>
  <c r="U112" i="23"/>
  <c r="K112" i="23"/>
  <c r="E112" i="23"/>
  <c r="D112" i="23"/>
  <c r="B112" i="23" a="1"/>
  <c r="B112" i="23" s="1"/>
  <c r="U111" i="23"/>
  <c r="K111" i="23"/>
  <c r="E111" i="23"/>
  <c r="D111" i="23"/>
  <c r="B111" i="23" a="1"/>
  <c r="B111" i="23" s="1"/>
  <c r="U110" i="23"/>
  <c r="K110" i="23"/>
  <c r="E110" i="23"/>
  <c r="D110" i="23"/>
  <c r="B110" i="23" a="1"/>
  <c r="B110" i="23" s="1"/>
  <c r="U109" i="23"/>
  <c r="K109" i="23"/>
  <c r="E109" i="23"/>
  <c r="D109" i="23"/>
  <c r="B109" i="23" a="1"/>
  <c r="B109" i="23" s="1"/>
  <c r="U108" i="23"/>
  <c r="K108" i="23"/>
  <c r="E108" i="23"/>
  <c r="D108" i="23"/>
  <c r="B108" i="23" a="1"/>
  <c r="B108" i="23" s="1"/>
  <c r="U107" i="23"/>
  <c r="K107" i="23"/>
  <c r="E107" i="23"/>
  <c r="D107" i="23"/>
  <c r="B107" i="23" a="1"/>
  <c r="B107" i="23" s="1"/>
  <c r="U106" i="23"/>
  <c r="K106" i="23"/>
  <c r="E106" i="23"/>
  <c r="D106" i="23"/>
  <c r="U105" i="23"/>
  <c r="U104" i="23"/>
  <c r="K104" i="23"/>
  <c r="E104" i="23"/>
  <c r="D104" i="23"/>
  <c r="U103" i="23"/>
  <c r="K103" i="23"/>
  <c r="E103" i="23"/>
  <c r="D103" i="23"/>
  <c r="B103" i="23" a="1"/>
  <c r="B103" i="23" s="1"/>
  <c r="U102" i="23"/>
  <c r="K102" i="23"/>
  <c r="E102" i="23"/>
  <c r="D102" i="23"/>
  <c r="B102" i="23" a="1"/>
  <c r="B102" i="23" s="1"/>
  <c r="U101" i="23"/>
  <c r="K101" i="23"/>
  <c r="E101" i="23"/>
  <c r="D101" i="23"/>
  <c r="B101" i="23" a="1"/>
  <c r="B101" i="23" s="1"/>
  <c r="U100" i="23"/>
  <c r="K100" i="23"/>
  <c r="E100" i="23"/>
  <c r="D100" i="23"/>
  <c r="B100" i="23" a="1"/>
  <c r="B100" i="23" s="1"/>
  <c r="U99" i="23"/>
  <c r="K99" i="23"/>
  <c r="E99" i="23"/>
  <c r="D99" i="23"/>
  <c r="B99" i="23" a="1"/>
  <c r="B99" i="23" s="1"/>
  <c r="U98" i="23"/>
  <c r="K98" i="23"/>
  <c r="E98" i="23"/>
  <c r="D98" i="23"/>
  <c r="U97" i="23"/>
  <c r="K97" i="23"/>
  <c r="E97" i="23"/>
  <c r="D97" i="23"/>
  <c r="B97" i="23" a="1"/>
  <c r="B97" i="23" s="1"/>
  <c r="U96" i="23"/>
  <c r="K96" i="23"/>
  <c r="E96" i="23"/>
  <c r="D96" i="23"/>
  <c r="B96" i="23" a="1"/>
  <c r="B96" i="23" s="1"/>
  <c r="U95" i="23"/>
  <c r="K95" i="23"/>
  <c r="E95" i="23"/>
  <c r="D95" i="23"/>
  <c r="B95" i="23" a="1"/>
  <c r="B95" i="23" s="1"/>
  <c r="U94" i="23"/>
  <c r="K94" i="23"/>
  <c r="E94" i="23"/>
  <c r="D94" i="23"/>
  <c r="B94" i="23" a="1"/>
  <c r="B94" i="23" s="1"/>
  <c r="U93" i="23"/>
  <c r="K93" i="23"/>
  <c r="E93" i="23"/>
  <c r="D93" i="23"/>
  <c r="B93" i="23" a="1"/>
  <c r="B93" i="23" s="1"/>
  <c r="U92" i="23"/>
  <c r="K92" i="23"/>
  <c r="E92" i="23"/>
  <c r="D92" i="23"/>
  <c r="B92" i="23" a="1"/>
  <c r="B92" i="23" s="1"/>
  <c r="U91" i="23"/>
  <c r="K91" i="23"/>
  <c r="E91" i="23"/>
  <c r="D91" i="23"/>
  <c r="B91" i="23" a="1"/>
  <c r="B91" i="23" s="1"/>
  <c r="U90" i="23"/>
  <c r="K90" i="23"/>
  <c r="E90" i="23"/>
  <c r="D90" i="23"/>
  <c r="B90" i="23" a="1"/>
  <c r="B90" i="23" s="1"/>
  <c r="U89" i="23"/>
  <c r="K89" i="23"/>
  <c r="E89" i="23"/>
  <c r="D89" i="23"/>
  <c r="B89" i="23" a="1"/>
  <c r="B89" i="23" s="1"/>
  <c r="U88" i="23"/>
  <c r="K88" i="23"/>
  <c r="E88" i="23"/>
  <c r="D88" i="23"/>
  <c r="B88" i="23" a="1"/>
  <c r="B88" i="23" s="1"/>
  <c r="U87" i="23"/>
  <c r="E87" i="23"/>
  <c r="D87" i="23"/>
  <c r="B87" i="23" a="1"/>
  <c r="B87" i="23" s="1"/>
  <c r="U86" i="23"/>
  <c r="K86" i="23"/>
  <c r="E86" i="23"/>
  <c r="D86" i="23"/>
  <c r="B86" i="23" a="1"/>
  <c r="B86" i="23" s="1"/>
  <c r="U85" i="23"/>
  <c r="K85" i="23"/>
  <c r="E85" i="23"/>
  <c r="D85" i="23"/>
  <c r="B85" i="23" a="1"/>
  <c r="B85" i="23" s="1"/>
  <c r="U84" i="23"/>
  <c r="K84" i="23"/>
  <c r="E84" i="23"/>
  <c r="D84" i="23"/>
  <c r="B84" i="23" a="1"/>
  <c r="B84" i="23" s="1"/>
  <c r="U83" i="23"/>
  <c r="K83" i="23"/>
  <c r="E83" i="23"/>
  <c r="D83" i="23"/>
  <c r="B83" i="23" a="1"/>
  <c r="B83" i="23" s="1"/>
  <c r="U82" i="23"/>
  <c r="K82" i="23"/>
  <c r="E82" i="23"/>
  <c r="D82" i="23"/>
  <c r="B82" i="23" a="1"/>
  <c r="B82" i="23" s="1"/>
  <c r="U81" i="23"/>
  <c r="K81" i="23"/>
  <c r="E81" i="23"/>
  <c r="D81" i="23"/>
  <c r="B81" i="23" a="1"/>
  <c r="B81" i="23" s="1"/>
  <c r="U80" i="23"/>
  <c r="K80" i="23"/>
  <c r="E80" i="23"/>
  <c r="D80" i="23"/>
  <c r="B80" i="23" a="1"/>
  <c r="B80" i="23" s="1"/>
  <c r="U79" i="23"/>
  <c r="K79" i="23"/>
  <c r="E79" i="23"/>
  <c r="D79" i="23"/>
  <c r="B79" i="23" a="1"/>
  <c r="B79" i="23" s="1"/>
  <c r="U78" i="23"/>
  <c r="K78" i="23"/>
  <c r="E78" i="23"/>
  <c r="D78" i="23"/>
  <c r="B78" i="23" a="1"/>
  <c r="B78" i="23" s="1"/>
  <c r="U77" i="23"/>
  <c r="K77" i="23"/>
  <c r="E77" i="23"/>
  <c r="D77" i="23"/>
  <c r="B77" i="23" a="1"/>
  <c r="B77" i="23" s="1"/>
  <c r="U76" i="23"/>
  <c r="K76" i="23"/>
  <c r="E76" i="23"/>
  <c r="D76" i="23"/>
  <c r="B76" i="23" a="1"/>
  <c r="B76" i="23" s="1"/>
  <c r="U75" i="23"/>
  <c r="K75" i="23"/>
  <c r="E75" i="23"/>
  <c r="D75" i="23"/>
  <c r="B75" i="23" a="1"/>
  <c r="B75" i="23" s="1"/>
  <c r="U74" i="23"/>
  <c r="K74" i="23"/>
  <c r="E74" i="23"/>
  <c r="D74" i="23"/>
  <c r="B74" i="23" a="1"/>
  <c r="B74" i="23" s="1"/>
  <c r="U73" i="23"/>
  <c r="K73" i="23"/>
  <c r="E73" i="23"/>
  <c r="D73" i="23"/>
  <c r="B73" i="23" a="1"/>
  <c r="B73" i="23" s="1"/>
  <c r="U72" i="23"/>
  <c r="K72" i="23"/>
  <c r="E72" i="23"/>
  <c r="D72" i="23"/>
  <c r="B72" i="23" a="1"/>
  <c r="B72" i="23" s="1"/>
  <c r="U71" i="23"/>
  <c r="K71" i="23"/>
  <c r="E71" i="23"/>
  <c r="D71" i="23"/>
  <c r="B71" i="23" a="1"/>
  <c r="B71" i="23" s="1"/>
  <c r="U70" i="23"/>
  <c r="K70" i="23"/>
  <c r="E70" i="23"/>
  <c r="D70" i="23"/>
  <c r="B70" i="23" a="1"/>
  <c r="B70" i="23" s="1"/>
  <c r="U69" i="23"/>
  <c r="K69" i="23"/>
  <c r="E69" i="23"/>
  <c r="D69" i="23"/>
  <c r="B69" i="23" a="1"/>
  <c r="B69" i="23" s="1"/>
  <c r="U68" i="23"/>
  <c r="K68" i="23"/>
  <c r="E68" i="23"/>
  <c r="D68" i="23"/>
  <c r="B68" i="23" a="1"/>
  <c r="B68" i="23" s="1"/>
  <c r="U67" i="23"/>
  <c r="K67" i="23"/>
  <c r="E67" i="23"/>
  <c r="D67" i="23"/>
  <c r="B67" i="23" a="1"/>
  <c r="B67" i="23" s="1"/>
  <c r="U66" i="23"/>
  <c r="K66" i="23"/>
  <c r="E66" i="23"/>
  <c r="D66" i="23"/>
  <c r="B66" i="23" a="1"/>
  <c r="B66" i="23" s="1"/>
  <c r="U65" i="23"/>
  <c r="K65" i="23"/>
  <c r="E65" i="23"/>
  <c r="D65" i="23"/>
  <c r="B65" i="23" a="1"/>
  <c r="B65" i="23" s="1"/>
  <c r="U64" i="23"/>
  <c r="K64" i="23"/>
  <c r="E64" i="23"/>
  <c r="D64" i="23"/>
  <c r="B64" i="23" a="1"/>
  <c r="B64" i="23" s="1"/>
  <c r="U63" i="23"/>
  <c r="K63" i="23"/>
  <c r="E63" i="23"/>
  <c r="D63" i="23"/>
  <c r="B63" i="23" a="1"/>
  <c r="B63" i="23" s="1"/>
  <c r="U62" i="23"/>
  <c r="K62" i="23"/>
  <c r="E62" i="23"/>
  <c r="D62" i="23"/>
  <c r="B62" i="23" a="1"/>
  <c r="B62" i="23" s="1"/>
  <c r="U61" i="23"/>
  <c r="K61" i="23"/>
  <c r="E61" i="23"/>
  <c r="D61" i="23"/>
  <c r="B61" i="23" a="1"/>
  <c r="B61" i="23" s="1"/>
  <c r="U60" i="23"/>
  <c r="K60" i="23"/>
  <c r="E60" i="23"/>
  <c r="D60" i="23"/>
  <c r="B60" i="23" a="1"/>
  <c r="B60" i="23" s="1"/>
  <c r="U59" i="23"/>
  <c r="K59" i="23"/>
  <c r="E59" i="23"/>
  <c r="D59" i="23"/>
  <c r="B59" i="23" a="1"/>
  <c r="B59" i="23" s="1"/>
  <c r="U58" i="23"/>
  <c r="K58" i="23"/>
  <c r="E58" i="23"/>
  <c r="D58" i="23"/>
  <c r="B58" i="23" a="1"/>
  <c r="B58" i="23" s="1"/>
  <c r="U57" i="23"/>
  <c r="K57" i="23"/>
  <c r="E57" i="23"/>
  <c r="D57" i="23"/>
  <c r="B57" i="23" a="1"/>
  <c r="B57" i="23" s="1"/>
  <c r="U56" i="23"/>
  <c r="K56" i="23"/>
  <c r="E56" i="23"/>
  <c r="D56" i="23"/>
  <c r="B56" i="23" a="1"/>
  <c r="B56" i="23" s="1"/>
  <c r="U55" i="23"/>
  <c r="K55" i="23"/>
  <c r="E55" i="23"/>
  <c r="D55" i="23"/>
  <c r="B55" i="23" a="1"/>
  <c r="B55" i="23" s="1"/>
  <c r="U54" i="23"/>
  <c r="K54" i="23"/>
  <c r="E54" i="23"/>
  <c r="D54" i="23"/>
  <c r="B54" i="23" a="1"/>
  <c r="B54" i="23" s="1"/>
  <c r="U53" i="23"/>
  <c r="K53" i="23"/>
  <c r="E53" i="23"/>
  <c r="D53" i="23"/>
  <c r="B53" i="23" a="1"/>
  <c r="B53" i="23" s="1"/>
  <c r="U52" i="23"/>
  <c r="K52" i="23"/>
  <c r="E52" i="23"/>
  <c r="D52" i="23"/>
  <c r="B52" i="23" a="1"/>
  <c r="B52" i="23" s="1"/>
  <c r="U51" i="23"/>
  <c r="K51" i="23"/>
  <c r="E51" i="23"/>
  <c r="D51" i="23"/>
  <c r="B51" i="23" a="1"/>
  <c r="B51" i="23" s="1"/>
  <c r="U50" i="23"/>
  <c r="K50" i="23"/>
  <c r="E50" i="23"/>
  <c r="D50" i="23"/>
  <c r="B50" i="23" a="1"/>
  <c r="B50" i="23" s="1"/>
  <c r="U49" i="23"/>
  <c r="K49" i="23"/>
  <c r="E49" i="23"/>
  <c r="D49" i="23"/>
  <c r="B49" i="23" a="1"/>
  <c r="B49" i="23" s="1"/>
  <c r="U48" i="23"/>
  <c r="K48" i="23"/>
  <c r="U47" i="23"/>
  <c r="K47" i="23"/>
  <c r="E47" i="23"/>
  <c r="D47" i="23"/>
  <c r="B47" i="23" a="1"/>
  <c r="B47" i="23" s="1"/>
  <c r="U46" i="23"/>
  <c r="K46" i="23"/>
  <c r="E46" i="23"/>
  <c r="D46" i="23"/>
  <c r="B46" i="23" a="1"/>
  <c r="B46" i="23" s="1"/>
  <c r="U45" i="23"/>
  <c r="K45" i="23"/>
  <c r="E45" i="23"/>
  <c r="D45" i="23"/>
  <c r="B45" i="23" a="1"/>
  <c r="B45" i="23" s="1"/>
  <c r="U44" i="23"/>
  <c r="K44" i="23"/>
  <c r="E44" i="23"/>
  <c r="D44" i="23"/>
  <c r="B44" i="23" a="1"/>
  <c r="B44" i="23" s="1"/>
  <c r="U43" i="23"/>
  <c r="K43" i="23"/>
  <c r="E43" i="23"/>
  <c r="D43" i="23"/>
  <c r="B43" i="23" a="1"/>
  <c r="B43" i="23" s="1"/>
  <c r="U42" i="23"/>
  <c r="K42" i="23"/>
  <c r="E42" i="23"/>
  <c r="D42" i="23"/>
  <c r="B42" i="23" a="1"/>
  <c r="B42" i="23" s="1"/>
  <c r="U41" i="23"/>
  <c r="K41" i="23"/>
  <c r="E41" i="23"/>
  <c r="D41" i="23"/>
  <c r="B41" i="23" a="1"/>
  <c r="B41" i="23" s="1"/>
  <c r="U40" i="23"/>
  <c r="K40" i="23"/>
  <c r="E40" i="23"/>
  <c r="D40" i="23"/>
  <c r="B40" i="23" a="1"/>
  <c r="B40" i="23" s="1"/>
  <c r="U39" i="23"/>
  <c r="K39" i="23"/>
  <c r="E39" i="23"/>
  <c r="D39" i="23"/>
  <c r="B39" i="23" a="1"/>
  <c r="B39" i="23" s="1"/>
  <c r="U38" i="23"/>
  <c r="K38" i="23"/>
  <c r="E38" i="23"/>
  <c r="D38" i="23"/>
  <c r="B38" i="23" a="1"/>
  <c r="B38" i="23" s="1"/>
  <c r="U37" i="23"/>
  <c r="K37" i="23"/>
  <c r="E37" i="23"/>
  <c r="D37" i="23"/>
  <c r="B37" i="23" a="1"/>
  <c r="B37" i="23" s="1"/>
  <c r="U36" i="23"/>
  <c r="K36" i="23"/>
  <c r="E36" i="23"/>
  <c r="D36" i="23"/>
  <c r="B36" i="23" a="1"/>
  <c r="B36" i="23" s="1"/>
  <c r="U35" i="23"/>
  <c r="K35" i="23"/>
  <c r="E35" i="23"/>
  <c r="D35" i="23"/>
  <c r="B35" i="23" a="1"/>
  <c r="B35" i="23" s="1"/>
  <c r="U34" i="23"/>
  <c r="K34" i="23"/>
  <c r="E34" i="23"/>
  <c r="D34" i="23"/>
  <c r="B34" i="23" a="1"/>
  <c r="B34" i="23" s="1"/>
  <c r="U33" i="23"/>
  <c r="K33" i="23"/>
  <c r="E33" i="23"/>
  <c r="D33" i="23"/>
  <c r="B33" i="23" a="1"/>
  <c r="B33" i="23" s="1"/>
  <c r="U32" i="23"/>
  <c r="K32" i="23"/>
  <c r="E32" i="23"/>
  <c r="D32" i="23"/>
  <c r="B32" i="23" a="1"/>
  <c r="B32" i="23" s="1"/>
  <c r="U31" i="23"/>
  <c r="K31" i="23"/>
  <c r="E31" i="23"/>
  <c r="D31" i="23"/>
  <c r="B31" i="23" a="1"/>
  <c r="B31" i="23" s="1"/>
  <c r="U30" i="23"/>
  <c r="K30" i="23"/>
  <c r="E30" i="23"/>
  <c r="D30" i="23"/>
  <c r="B30" i="23" a="1"/>
  <c r="B30" i="23" s="1"/>
  <c r="U29" i="23"/>
  <c r="K29" i="23"/>
  <c r="E29" i="23"/>
  <c r="D29" i="23"/>
  <c r="B29" i="23" a="1"/>
  <c r="B29" i="23" s="1"/>
  <c r="U28" i="23"/>
  <c r="K28" i="23"/>
  <c r="E28" i="23"/>
  <c r="D28" i="23"/>
  <c r="B28" i="23" a="1"/>
  <c r="B28" i="23" s="1"/>
  <c r="U27" i="23"/>
  <c r="K27" i="23"/>
  <c r="E27" i="23"/>
  <c r="D27" i="23"/>
  <c r="B27" i="23" a="1"/>
  <c r="B27" i="23" s="1"/>
  <c r="U26" i="23"/>
  <c r="K26" i="23"/>
  <c r="E26" i="23"/>
  <c r="D26" i="23"/>
  <c r="B26" i="23" a="1"/>
  <c r="B26" i="23" s="1"/>
  <c r="U25" i="23"/>
  <c r="K25" i="23"/>
  <c r="E25" i="23"/>
  <c r="D25" i="23"/>
  <c r="B25" i="23" a="1"/>
  <c r="B25" i="23" s="1"/>
  <c r="U24" i="23"/>
  <c r="K24" i="23"/>
  <c r="E24" i="23"/>
  <c r="D24" i="23"/>
  <c r="B24" i="23" a="1"/>
  <c r="B24" i="23" s="1"/>
  <c r="U23" i="23"/>
  <c r="K23" i="23"/>
  <c r="E23" i="23"/>
  <c r="D23" i="23"/>
  <c r="B23" i="23" a="1"/>
  <c r="B23" i="23" s="1"/>
  <c r="U22" i="23"/>
  <c r="K22" i="23"/>
  <c r="E22" i="23"/>
  <c r="D22" i="23"/>
  <c r="B22" i="23" a="1"/>
  <c r="B22" i="23" s="1"/>
  <c r="U21" i="23"/>
  <c r="K21" i="23"/>
  <c r="E21" i="23"/>
  <c r="D21" i="23"/>
  <c r="B21" i="23" a="1"/>
  <c r="B21" i="23" s="1"/>
  <c r="U20" i="23"/>
  <c r="K20" i="23"/>
  <c r="E20" i="23"/>
  <c r="D20" i="23"/>
  <c r="B20" i="23" a="1"/>
  <c r="B20" i="23" s="1"/>
  <c r="U19" i="23"/>
  <c r="K19" i="23"/>
  <c r="E19" i="23"/>
  <c r="D19" i="23"/>
  <c r="B19" i="23" a="1"/>
  <c r="B19" i="23" s="1"/>
  <c r="U18" i="23"/>
  <c r="K18" i="23"/>
  <c r="E18" i="23"/>
  <c r="D18" i="23"/>
  <c r="B18" i="23" a="1"/>
  <c r="B18" i="23" s="1"/>
  <c r="U17" i="23"/>
  <c r="K17" i="23"/>
  <c r="E17" i="23"/>
  <c r="D17" i="23"/>
  <c r="B17" i="23" a="1"/>
  <c r="B17" i="23" s="1"/>
  <c r="U16" i="23"/>
  <c r="K16" i="23"/>
  <c r="E16" i="23"/>
  <c r="D16" i="23"/>
  <c r="B16" i="23" a="1"/>
  <c r="B16" i="23" s="1"/>
  <c r="U15" i="23"/>
  <c r="K15" i="23"/>
  <c r="E15" i="23"/>
  <c r="D15" i="23"/>
  <c r="B15" i="23" a="1"/>
  <c r="B15" i="23" s="1"/>
  <c r="U14" i="23"/>
  <c r="K14" i="23"/>
  <c r="E14" i="23"/>
  <c r="D14" i="23"/>
  <c r="B14" i="23" a="1"/>
  <c r="B14" i="23" s="1"/>
  <c r="U13" i="23"/>
  <c r="K13" i="23"/>
  <c r="E13" i="23"/>
  <c r="D13" i="23"/>
  <c r="B13" i="23" a="1"/>
  <c r="B13" i="23" s="1"/>
  <c r="U12" i="23"/>
  <c r="E12" i="23"/>
  <c r="D12" i="23"/>
  <c r="B12" i="23" a="1"/>
  <c r="B12" i="23" s="1"/>
  <c r="U11" i="23"/>
  <c r="K11" i="23"/>
  <c r="E11" i="23"/>
  <c r="D11" i="23"/>
  <c r="B11" i="23" a="1"/>
  <c r="B11" i="23" s="1"/>
  <c r="U10" i="23"/>
  <c r="K10" i="23"/>
  <c r="E10" i="23"/>
  <c r="D10" i="23"/>
  <c r="B10" i="23" a="1"/>
  <c r="B10" i="23" s="1"/>
  <c r="U9" i="23"/>
  <c r="K9" i="23"/>
  <c r="E9" i="23"/>
  <c r="D9" i="23"/>
  <c r="B9" i="23" a="1"/>
  <c r="B9" i="23" s="1"/>
  <c r="U8" i="23"/>
  <c r="K8" i="23"/>
  <c r="U7" i="23"/>
  <c r="K7" i="23"/>
  <c r="E7" i="23"/>
  <c r="D7" i="23"/>
  <c r="B7" i="23" a="1"/>
  <c r="B7" i="23" s="1"/>
  <c r="U6" i="23"/>
  <c r="K6" i="23"/>
  <c r="E6" i="23"/>
  <c r="D6" i="23"/>
  <c r="B6" i="23" a="1"/>
  <c r="B6" i="23" s="1"/>
  <c r="U5" i="23"/>
  <c r="K5" i="23"/>
  <c r="E5" i="23"/>
  <c r="D5" i="23"/>
  <c r="B5" i="23" a="1"/>
  <c r="B5" i="23" s="1"/>
  <c r="U4" i="23"/>
  <c r="K4" i="23"/>
  <c r="E4" i="23"/>
  <c r="D4" i="23"/>
  <c r="B4" i="23" a="1"/>
  <c r="B4" i="23" s="1"/>
  <c r="U3" i="23"/>
  <c r="K3" i="23"/>
  <c r="E3" i="23"/>
  <c r="D3" i="23"/>
  <c r="B3" i="23" a="1"/>
  <c r="B3" i="23" s="1"/>
  <c r="R1" i="23"/>
  <c r="N1" i="23"/>
  <c r="M1" i="23" l="1"/>
  <c r="M103" i="8" l="1"/>
  <c r="M104" i="8"/>
  <c r="M102" i="8"/>
  <c r="M1" i="8" l="1"/>
  <c r="B59" i="8" a="1"/>
  <c r="B59" i="8" s="1"/>
  <c r="B95" i="8" a="1"/>
  <c r="B95" i="8" s="1"/>
  <c r="E83" i="8"/>
  <c r="D83" i="8"/>
  <c r="B83" i="8" a="1"/>
  <c r="B83" i="8" s="1"/>
  <c r="B25" i="8" a="1"/>
  <c r="B25" i="8" s="1"/>
  <c r="D25" i="8"/>
  <c r="E25" i="8"/>
  <c r="B26" i="8" a="1"/>
  <c r="B26" i="8" s="1"/>
  <c r="D26" i="8"/>
  <c r="E26" i="8"/>
  <c r="E59" i="8"/>
  <c r="D59" i="8"/>
  <c r="E69" i="8"/>
  <c r="D69" i="8"/>
  <c r="B69" i="8" a="1"/>
  <c r="B69" i="8" s="1"/>
  <c r="E90" i="8"/>
  <c r="D90" i="8"/>
  <c r="B90" i="8" a="1"/>
  <c r="B90" i="8" s="1"/>
  <c r="E62" i="8"/>
  <c r="D62" i="8"/>
  <c r="B62" i="8" a="1"/>
  <c r="B62" i="8" s="1"/>
  <c r="E76" i="8"/>
  <c r="D76" i="8"/>
  <c r="B76" i="8" a="1"/>
  <c r="B76" i="8" s="1"/>
  <c r="E80" i="8"/>
  <c r="D80" i="8"/>
  <c r="B80" i="8" a="1"/>
  <c r="B80" i="8" s="1"/>
  <c r="B78" i="8" a="1"/>
  <c r="B78" i="8" s="1"/>
  <c r="D78" i="8"/>
  <c r="E78" i="8"/>
  <c r="E93" i="8" l="1"/>
  <c r="D93" i="8"/>
  <c r="B93" i="8" a="1"/>
  <c r="B93" i="8" s="1"/>
  <c r="E92" i="8"/>
  <c r="D92" i="8"/>
  <c r="B92" i="8" a="1"/>
  <c r="B92" i="8" s="1"/>
  <c r="E22" i="8" l="1"/>
  <c r="D22" i="8"/>
  <c r="B22" i="8" a="1"/>
  <c r="B22" i="8" s="1"/>
  <c r="E43" i="8"/>
  <c r="D43" i="8"/>
  <c r="B43" i="8" a="1"/>
  <c r="B43" i="8" s="1"/>
  <c r="E9" i="8"/>
  <c r="D9" i="8"/>
  <c r="B9" i="8" a="1"/>
  <c r="B9" i="8" s="1"/>
  <c r="N103" i="8"/>
  <c r="O103" i="8"/>
  <c r="P103" i="8"/>
  <c r="Q103" i="8"/>
  <c r="N104" i="8"/>
  <c r="O104" i="8"/>
  <c r="P104" i="8"/>
  <c r="Q104" i="8"/>
  <c r="N102" i="8"/>
  <c r="O102" i="8"/>
  <c r="P102" i="8"/>
  <c r="Q102" i="8"/>
  <c r="E50" i="8"/>
  <c r="D50" i="8"/>
  <c r="B50" i="8" a="1"/>
  <c r="B50" i="8" s="1"/>
  <c r="B64" i="8" a="1"/>
  <c r="B64" i="8" s="1"/>
  <c r="D64" i="8"/>
  <c r="E64" i="8"/>
  <c r="E5" i="8"/>
  <c r="D5" i="8"/>
  <c r="B5" i="8" a="1"/>
  <c r="B5" i="8" s="1"/>
  <c r="B61" i="8" a="1"/>
  <c r="B61" i="8" s="1"/>
  <c r="D61" i="8"/>
  <c r="E61" i="8"/>
  <c r="B74" i="8" a="1"/>
  <c r="B74" i="8" s="1"/>
  <c r="D74" i="8"/>
  <c r="E74" i="8"/>
  <c r="B60" i="8" a="1"/>
  <c r="B60" i="8" s="1"/>
  <c r="D60" i="8"/>
  <c r="E60" i="8"/>
  <c r="Q1" i="8" l="1"/>
  <c r="N1" i="8"/>
  <c r="P1" i="8"/>
  <c r="O1" i="8"/>
  <c r="E82" i="8"/>
  <c r="D82" i="8"/>
  <c r="B67" i="8" a="1"/>
  <c r="B67" i="8" s="1"/>
  <c r="D67" i="8"/>
  <c r="E67" i="8"/>
  <c r="B68" i="8" l="1" a="1"/>
  <c r="B68" i="8" s="1"/>
  <c r="D68" i="8"/>
  <c r="E68" i="8"/>
  <c r="E29" i="8"/>
  <c r="D29" i="8"/>
  <c r="B29" i="8" a="1"/>
  <c r="B29" i="8" s="1"/>
  <c r="E91" i="8"/>
  <c r="D91" i="8"/>
  <c r="B91" i="8" a="1"/>
  <c r="B91" i="8" s="1"/>
  <c r="B81" i="8" l="1" a="1"/>
  <c r="B81" i="8" s="1"/>
  <c r="D81" i="8"/>
  <c r="E81" i="8"/>
  <c r="E86" i="8"/>
  <c r="D86" i="8"/>
  <c r="B86" i="8" a="1"/>
  <c r="B86" i="8" s="1"/>
  <c r="E24" i="8"/>
  <c r="D24" i="8"/>
  <c r="B24" i="8" a="1"/>
  <c r="B24" i="8" s="1"/>
  <c r="E87" i="8"/>
  <c r="D87" i="8"/>
  <c r="B87" i="8" a="1"/>
  <c r="B87" i="8" s="1"/>
  <c r="E88" i="8"/>
  <c r="D88" i="8"/>
  <c r="B88" i="8" a="1"/>
  <c r="B88" i="8" s="1"/>
  <c r="B44" i="8" a="1"/>
  <c r="B44" i="8" s="1"/>
  <c r="D44" i="8"/>
  <c r="E44" i="8"/>
  <c r="B42" i="8" a="1"/>
  <c r="B42" i="8" s="1"/>
  <c r="D42" i="8"/>
  <c r="E42" i="8"/>
  <c r="B94" i="8" a="1"/>
  <c r="B94" i="8" s="1"/>
  <c r="D94" i="8"/>
  <c r="E94" i="8"/>
  <c r="D95" i="8"/>
  <c r="E95" i="8"/>
  <c r="B96" i="8" a="1"/>
  <c r="B96" i="8" s="1"/>
  <c r="D96" i="8"/>
  <c r="E96" i="8"/>
  <c r="B97" i="8" a="1"/>
  <c r="B97" i="8" s="1"/>
  <c r="D97" i="8"/>
  <c r="E97" i="8"/>
  <c r="B54" i="8" l="1" a="1"/>
  <c r="B54" i="8" s="1"/>
  <c r="B55" i="8" a="1"/>
  <c r="B55" i="8" s="1"/>
  <c r="B34" i="8" a="1"/>
  <c r="B34" i="8" s="1"/>
  <c r="B49" i="8" a="1"/>
  <c r="B49" i="8" s="1"/>
  <c r="B45" i="8" a="1"/>
  <c r="B45" i="8" s="1"/>
  <c r="B65" i="8" a="1"/>
  <c r="B65" i="8" s="1"/>
  <c r="B51" i="8" a="1"/>
  <c r="B51" i="8" s="1"/>
  <c r="B11" i="8" a="1"/>
  <c r="B11" i="8" s="1"/>
  <c r="B72" i="8" a="1"/>
  <c r="B72" i="8" s="1"/>
  <c r="B23" i="8" a="1"/>
  <c r="B23" i="8" s="1"/>
  <c r="B89" i="8" a="1"/>
  <c r="B89" i="8" s="1"/>
  <c r="B8" i="8" a="1"/>
  <c r="B8" i="8" s="1"/>
  <c r="B41" i="8" a="1"/>
  <c r="B41" i="8" s="1"/>
  <c r="B12" i="8" a="1"/>
  <c r="B12" i="8" s="1"/>
  <c r="B57" i="8" a="1"/>
  <c r="B57" i="8" s="1"/>
  <c r="B30" i="8" a="1"/>
  <c r="B30" i="8" s="1"/>
  <c r="B84" i="8" a="1"/>
  <c r="B84" i="8" s="1"/>
  <c r="B40" i="8" a="1"/>
  <c r="B40" i="8" s="1"/>
  <c r="B27" i="8" a="1"/>
  <c r="B27" i="8" s="1"/>
  <c r="B75" i="8" a="1"/>
  <c r="B75" i="8" s="1"/>
  <c r="B73" i="8" a="1"/>
  <c r="B73" i="8" s="1"/>
  <c r="B77" i="8" a="1"/>
  <c r="B77" i="8" s="1"/>
  <c r="B28" i="8" a="1"/>
  <c r="B28" i="8" s="1"/>
  <c r="B66" i="8" a="1"/>
  <c r="B66" i="8" s="1"/>
  <c r="B16" i="8" a="1"/>
  <c r="B16" i="8" s="1"/>
  <c r="B31" i="8" a="1"/>
  <c r="B31" i="8" s="1"/>
  <c r="B19" i="8" a="1"/>
  <c r="B19" i="8" s="1"/>
  <c r="B32" i="8" a="1"/>
  <c r="B32" i="8" s="1"/>
  <c r="B33" i="8" a="1"/>
  <c r="B33" i="8" s="1"/>
  <c r="B36" i="8" a="1"/>
  <c r="B36" i="8" s="1"/>
  <c r="B37" i="8" a="1"/>
  <c r="B37" i="8" s="1"/>
  <c r="B52" i="8" a="1"/>
  <c r="B52" i="8" s="1"/>
  <c r="B47" i="8" a="1"/>
  <c r="B47" i="8" s="1"/>
  <c r="B7" i="8" a="1"/>
  <c r="B7" i="8" s="1"/>
  <c r="B21" i="8" a="1"/>
  <c r="B21" i="8" s="1"/>
  <c r="B3" i="8" a="1"/>
  <c r="B3" i="8" s="1"/>
  <c r="B10" i="8" a="1"/>
  <c r="B10" i="8" s="1"/>
  <c r="B56" i="8" a="1"/>
  <c r="B56" i="8" s="1"/>
  <c r="B6" i="8" a="1"/>
  <c r="B6" i="8" s="1"/>
  <c r="B13" i="8" a="1"/>
  <c r="B13" i="8" s="1"/>
  <c r="B14" i="8" a="1"/>
  <c r="B14" i="8" s="1"/>
  <c r="B48" i="8" a="1"/>
  <c r="B48" i="8" s="1"/>
  <c r="B46" i="8" a="1"/>
  <c r="B46" i="8" s="1"/>
  <c r="B20" i="8" a="1"/>
  <c r="B20" i="8" s="1"/>
  <c r="B63" i="8" a="1"/>
  <c r="B63" i="8" s="1"/>
  <c r="B79" i="8" a="1"/>
  <c r="B79" i="8" s="1"/>
  <c r="B35" i="8" a="1"/>
  <c r="B35" i="8" s="1"/>
  <c r="B15" i="8" a="1"/>
  <c r="B15" i="8" s="1"/>
  <c r="B38" i="8" a="1"/>
  <c r="B38" i="8" s="1"/>
  <c r="B53" i="8" a="1"/>
  <c r="B53" i="8" s="1"/>
  <c r="B71" i="8" a="1"/>
  <c r="B71" i="8" s="1"/>
  <c r="B70" i="8" a="1"/>
  <c r="B70" i="8" s="1"/>
  <c r="B17" i="8" a="1"/>
  <c r="B17" i="8" s="1"/>
  <c r="B18" i="8" a="1"/>
  <c r="B18" i="8" s="1"/>
  <c r="B39" i="8" a="1"/>
  <c r="B39" i="8" s="1"/>
  <c r="B58" i="8" a="1"/>
  <c r="B58" i="8" s="1"/>
  <c r="B4" i="8" a="1"/>
  <c r="B4" i="8" s="1"/>
  <c r="D54" i="8"/>
  <c r="E54" i="8"/>
  <c r="D55" i="8"/>
  <c r="E55" i="8"/>
  <c r="D34" i="8"/>
  <c r="E34" i="8"/>
  <c r="D49" i="8"/>
  <c r="E49" i="8"/>
  <c r="D28" i="8"/>
  <c r="E28" i="8"/>
  <c r="D45" i="8"/>
  <c r="E45" i="8"/>
  <c r="D4" i="8"/>
  <c r="E4" i="8"/>
  <c r="D65" i="8"/>
  <c r="E65" i="8"/>
  <c r="D51" i="8"/>
  <c r="E51" i="8"/>
  <c r="D47" i="8"/>
  <c r="E47" i="8"/>
  <c r="D11" i="8"/>
  <c r="E11" i="8"/>
  <c r="D7" i="8"/>
  <c r="E7" i="8"/>
  <c r="D21" i="8"/>
  <c r="E21" i="8"/>
  <c r="D3" i="8"/>
  <c r="E3" i="8"/>
  <c r="D66" i="8"/>
  <c r="E66" i="8"/>
  <c r="D72" i="8"/>
  <c r="E72" i="8"/>
  <c r="D16" i="8"/>
  <c r="E16" i="8"/>
  <c r="D15" i="8"/>
  <c r="E15" i="8"/>
  <c r="D23" i="8"/>
  <c r="E23" i="8"/>
  <c r="D38" i="8"/>
  <c r="E38" i="8"/>
  <c r="D53" i="8"/>
  <c r="E53" i="8"/>
  <c r="D89" i="8"/>
  <c r="E89" i="8"/>
  <c r="D10" i="8"/>
  <c r="E10" i="8"/>
  <c r="D31" i="8"/>
  <c r="E31" i="8"/>
  <c r="D20" i="8"/>
  <c r="E20" i="8"/>
  <c r="D63" i="8"/>
  <c r="E63" i="8"/>
  <c r="D8" i="8"/>
  <c r="E8" i="8"/>
  <c r="D41" i="8"/>
  <c r="E41" i="8"/>
  <c r="D12" i="8"/>
  <c r="E12" i="8"/>
  <c r="D57" i="8"/>
  <c r="E57" i="8"/>
  <c r="D30" i="8"/>
  <c r="E30" i="8"/>
  <c r="D84" i="8"/>
  <c r="E84" i="8"/>
  <c r="D40" i="8"/>
  <c r="E40" i="8"/>
  <c r="D27" i="8"/>
  <c r="E27" i="8"/>
  <c r="D71" i="8"/>
  <c r="E71" i="8"/>
  <c r="D70" i="8"/>
  <c r="E70" i="8"/>
  <c r="D17" i="8"/>
  <c r="E17" i="8"/>
  <c r="D18" i="8"/>
  <c r="E18" i="8"/>
  <c r="D56" i="8"/>
  <c r="E56" i="8"/>
  <c r="D6" i="8"/>
  <c r="E6" i="8"/>
  <c r="D13" i="8"/>
  <c r="E13" i="8"/>
  <c r="D14" i="8"/>
  <c r="E14" i="8"/>
  <c r="D19" i="8"/>
  <c r="E19" i="8"/>
  <c r="D32" i="8"/>
  <c r="E32" i="8"/>
  <c r="D33" i="8"/>
  <c r="E33" i="8"/>
  <c r="D36" i="8"/>
  <c r="E36" i="8"/>
  <c r="D37" i="8"/>
  <c r="E37" i="8"/>
  <c r="D39" i="8"/>
  <c r="E39" i="8"/>
  <c r="D52" i="8"/>
  <c r="E52" i="8"/>
  <c r="D48" i="8"/>
  <c r="E48" i="8"/>
  <c r="D58" i="8"/>
  <c r="E58" i="8"/>
  <c r="D79" i="8"/>
  <c r="E79" i="8"/>
  <c r="D75" i="8"/>
  <c r="E75" i="8"/>
  <c r="D73" i="8"/>
  <c r="E73" i="8"/>
  <c r="D46" i="8"/>
  <c r="E46" i="8"/>
  <c r="D77" i="8"/>
  <c r="E77" i="8"/>
  <c r="E35" i="8"/>
  <c r="D3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tc={D1631A86-B89C-4BE0-8016-618A3B411F94}</author>
    <author>tc={7B1CB5A9-F4C8-4DE2-906F-2BE98B1229B0}</author>
  </authors>
  <commentList>
    <comment ref="J25" authorId="0" shapeId="0" xr:uid="{D1631A86-B89C-4BE0-8016-618A3B411F94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Infiltration d’eau  - VMC en panne
Réponse :
     devis GP.17342 à 41 000 €</t>
        </r>
      </text>
    </comment>
    <comment ref="J32" authorId="1" shapeId="0" xr:uid="{7B1CB5A9-F4C8-4DE2-906F-2BE98B1229B0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ER.26605
ER.26242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tc={521D908C-5D85-4C55-9259-7A3389BDB370}</author>
  </authors>
  <commentList>
    <comment ref="J19" authorId="0" shapeId="0" xr:uid="{521D908C-5D85-4C55-9259-7A3389BDB370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Infiltration d’eau  - VMC en panne
Réponse :
     devis GP.17342 à 41 000 €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<sst xmlns="http://schemas.openxmlformats.org/spreadsheetml/2006/main" count="1093" uniqueCount="318">
  <si>
    <t>Adresse</t>
  </si>
  <si>
    <t>CP</t>
  </si>
  <si>
    <t>Ville</t>
  </si>
  <si>
    <t>C</t>
  </si>
  <si>
    <t>SERRIS</t>
  </si>
  <si>
    <t>1  RUE HENRI FRANCOIS</t>
  </si>
  <si>
    <t>OZOIR-LA-FERRIERE</t>
  </si>
  <si>
    <t>1  RUE RENE MICHEL</t>
  </si>
  <si>
    <t>CHAUMES-EN-BRIE</t>
  </si>
  <si>
    <t>3E  PL. THOMAS LE PILLEUR</t>
  </si>
  <si>
    <t>8  RUE PIERRE AUGUSTIN CARON</t>
  </si>
  <si>
    <t>OTHIS</t>
  </si>
  <si>
    <t>COPRO</t>
  </si>
  <si>
    <t>GE</t>
  </si>
  <si>
    <t>(j) Couvertures</t>
  </si>
  <si>
    <t>HCHEDLY</t>
  </si>
  <si>
    <t>Entretien de la couverture</t>
  </si>
  <si>
    <t>(p) Toitures</t>
  </si>
  <si>
    <t>GT</t>
  </si>
  <si>
    <t>(e) Divers</t>
  </si>
  <si>
    <t>Place Jean Brunhoff, Chessy</t>
  </si>
  <si>
    <t>Démoussage des couvertures</t>
  </si>
  <si>
    <t>CANTONY</t>
  </si>
  <si>
    <t>(r) Fermetures</t>
  </si>
  <si>
    <t>(g) Halls</t>
  </si>
  <si>
    <t>Remplacement des BAL</t>
  </si>
  <si>
    <t>Conduits des VMC à reprendre</t>
  </si>
  <si>
    <t>Travaux d'étanchéité des couvertures</t>
  </si>
  <si>
    <t>Remplacement des volets bois</t>
  </si>
  <si>
    <t xml:space="preserve">Reprise des fixations des volets bois </t>
  </si>
  <si>
    <t>Réfection des parties communes</t>
  </si>
  <si>
    <t>Travaux divers de couvertures</t>
  </si>
  <si>
    <t>(h) Cages</t>
  </si>
  <si>
    <t>Mise en peinture des parties communes</t>
  </si>
  <si>
    <t>101 Rue Victor Clairet, Varreddes</t>
  </si>
  <si>
    <t>(u) Etanchéité</t>
  </si>
  <si>
    <t>(f) Ravalement</t>
  </si>
  <si>
    <t xml:space="preserve">Ravalement </t>
  </si>
  <si>
    <t>21 Ter des Oulches, Dammartin-en-Goele</t>
  </si>
  <si>
    <t>Plantation de végétaux</t>
  </si>
  <si>
    <t>(z) Electricité</t>
  </si>
  <si>
    <t>Mise en place de volets roulant motorisées</t>
  </si>
  <si>
    <t>2 Rue du Puy crouzet, CHOISY LE ROI</t>
  </si>
  <si>
    <t>4 rue du Toque Bois, Magny-le-Hongre</t>
  </si>
  <si>
    <t>(m) Carrelage</t>
  </si>
  <si>
    <t>Ravalement</t>
  </si>
  <si>
    <t>Fourniture et pose de volets roulant</t>
  </si>
  <si>
    <t>(d) Espaces Ext</t>
  </si>
  <si>
    <t>Travaux de voirie (reprise des chemins de circulations)</t>
  </si>
  <si>
    <t>Remplacement de la porte local poubelle</t>
  </si>
  <si>
    <t xml:space="preserve">Entretiens des toitures terrasses </t>
  </si>
  <si>
    <t>Réfection des revêtements de sols</t>
  </si>
  <si>
    <t>Réfection cage d'escalier</t>
  </si>
  <si>
    <t>Remplacement des menuiseries extérieure</t>
  </si>
  <si>
    <t>(q) Menuiseries ext</t>
  </si>
  <si>
    <t>Pose de stop park</t>
  </si>
  <si>
    <t>Entretiens des toitures terrasses</t>
  </si>
  <si>
    <t>Pose de stop park et marquage au sol</t>
  </si>
  <si>
    <t>(c) Isolation</t>
  </si>
  <si>
    <t>Remplacement portes accès parking</t>
  </si>
  <si>
    <t>Réfections des revêtements de sols</t>
  </si>
  <si>
    <t>Remplacement portes de hall</t>
  </si>
  <si>
    <t>Réfection du flocage parking souterrain</t>
  </si>
  <si>
    <t>Isolation des combles du bâtiment collectif</t>
  </si>
  <si>
    <t>ADF - Réfection des parties communes</t>
  </si>
  <si>
    <t>TR</t>
  </si>
  <si>
    <t>Arl/sect</t>
  </si>
  <si>
    <t>ADRESSE</t>
  </si>
  <si>
    <t>CORPS D'ETAT</t>
  </si>
  <si>
    <t>Ch. Op.</t>
  </si>
  <si>
    <t>Ligne budgétaire</t>
  </si>
  <si>
    <t>NATURE TRAVAUX</t>
  </si>
  <si>
    <t>Entretien couvertures</t>
  </si>
  <si>
    <t>ITE</t>
  </si>
  <si>
    <t>Travaux de couvertures</t>
  </si>
  <si>
    <t>Réfection d'étanchéité de la terrasse</t>
  </si>
  <si>
    <t>Isolation du plancher haut des sous-sol</t>
  </si>
  <si>
    <t>FOYER - MGEL LOGEMENT - 4 CHEMIN LE BOULEUR - BROU-SUR-CHANTEREINE - ER.43073</t>
  </si>
  <si>
    <t xml:space="preserve">REMISE EN ETAT DE LOGEMENTS </t>
  </si>
  <si>
    <t>Mise en peinture des portes de placards technique</t>
  </si>
  <si>
    <t>Réhab</t>
  </si>
  <si>
    <t>Repise étanchéité toiture</t>
  </si>
  <si>
    <t>Rue de Meaux</t>
  </si>
  <si>
    <t>Reprise étanchéité des balcons terrasses</t>
  </si>
  <si>
    <t>APEP</t>
  </si>
  <si>
    <t>appel de fond - Abris de poubelles</t>
  </si>
  <si>
    <t>Dépose de portes LT dans les parties communes</t>
  </si>
  <si>
    <t>Rue Charles de Gaulle, Chessy</t>
  </si>
  <si>
    <t xml:space="preserve">Remise en état de l'interphonie </t>
  </si>
  <si>
    <t>Remplacement des volets roulants</t>
  </si>
  <si>
    <t>Entretien de la toiture</t>
  </si>
  <si>
    <t>Reprise carrelage - ER.28362</t>
  </si>
  <si>
    <t>Reprise carrelage - ER.28363</t>
  </si>
  <si>
    <t>Remplacement des volets battants</t>
  </si>
  <si>
    <t>Remplacement de la menuiserie exterieure</t>
  </si>
  <si>
    <t>Remplacement portes de box</t>
  </si>
  <si>
    <t>pose de stop park et signalétiques</t>
  </si>
  <si>
    <t>4 Rue du Toque Bois, Magny-le-Hongre</t>
  </si>
  <si>
    <t>Place Thomas Le Pilleur, Serris</t>
  </si>
  <si>
    <t>Rue de la Chaussée de Paris, Villenoy</t>
  </si>
  <si>
    <t>25 Rue des Scandinaves, Serris</t>
  </si>
  <si>
    <t>10 Indiv - Rue des reinettes, Villeneuve-Saint-Denis</t>
  </si>
  <si>
    <t>2 Rue du Pressoir, Serris</t>
  </si>
  <si>
    <t>73 Avenue Gambetta, Paris 20 Arr</t>
  </si>
  <si>
    <t>111 Rue Paul et Camille Thomoux, Neuilly-sur-Marne</t>
  </si>
  <si>
    <t>2 Impasse Calville, Villeneuve-Saint-Denis</t>
  </si>
  <si>
    <t>65 Boucle Belle Joséphine, Magny-Le-Hongre</t>
  </si>
  <si>
    <t>7 Ter Avenue Georges Pompidou , Sucy-en-Brie</t>
  </si>
  <si>
    <t>8 Avenue de Saria, Serris</t>
  </si>
  <si>
    <t>8 Rue Souilly, Claye-Souilly</t>
  </si>
  <si>
    <t>21 Avenue du Géneral du Taillis, Nangis</t>
  </si>
  <si>
    <t>Avenue Molière, Nangis</t>
  </si>
  <si>
    <t>Place Denis de Chailly, Nangis</t>
  </si>
  <si>
    <t>1-8 Rue Rene Michel, Chaumes-en-Brie</t>
  </si>
  <si>
    <t>Résidence de la Treille, Souppes-sur-Loing</t>
  </si>
  <si>
    <t>ALLEE DE LA PYRAMIDE, PROMENADE DU STADE - Nandy</t>
  </si>
  <si>
    <t>6/8/10 Place des Cornilles, Chessy</t>
  </si>
  <si>
    <t>10 rue de Paris, Coupvray</t>
  </si>
  <si>
    <t>9 Rue de Paris, Coupvray</t>
  </si>
  <si>
    <t>1 Rue d'Esbly, Coupvray</t>
  </si>
  <si>
    <t>1 Rue d'Esbly,  Coupvray</t>
  </si>
  <si>
    <t>10 Bis Rue d'Orsoy, Varreddes</t>
  </si>
  <si>
    <t>27 Societé des Nations, Montévrain</t>
  </si>
  <si>
    <t>82 Avenue du Géneral Leclerc, Saint-Thibault-des-Vignes</t>
  </si>
  <si>
    <t>RUE BONAPARTE, Ozoir-La-Ferrière</t>
  </si>
  <si>
    <t>8 Rue Pierre Augustin Caron, Othis</t>
  </si>
  <si>
    <t>Vente possible</t>
  </si>
  <si>
    <t>(o) Plomberie</t>
  </si>
  <si>
    <t>(w) Isolat extérieure</t>
  </si>
  <si>
    <t>(y) Amenagt ext</t>
  </si>
  <si>
    <t>Place des chênes, Nandy</t>
  </si>
  <si>
    <t>Travaux d'assainissement suite rachat</t>
  </si>
  <si>
    <t>CDOSSANTOS</t>
  </si>
  <si>
    <t>Rue Bonaparte - Rue Henri François, Ozoir-La-Ferrière</t>
  </si>
  <si>
    <t>(b) Abords</t>
  </si>
  <si>
    <t>Demoussage Façade et menuiseries ext</t>
  </si>
  <si>
    <t>Peinture du portail ext</t>
  </si>
  <si>
    <t>Remplacement des volets bois sur façade principale</t>
  </si>
  <si>
    <t>Démoussage et entretien des couvertures</t>
  </si>
  <si>
    <t>Refection des abords du batiment</t>
  </si>
  <si>
    <t xml:space="preserve">Démoussage et entretien des couvertures </t>
  </si>
  <si>
    <t xml:space="preserve">Refection étanchéité des balcons </t>
  </si>
  <si>
    <t>Refection des joints de menuiserie ext.</t>
  </si>
  <si>
    <t>Réfection de l'étanchéité</t>
  </si>
  <si>
    <t>Remplacement portes locaux communs</t>
  </si>
  <si>
    <t>Entretien / Remplacement volets bois</t>
  </si>
  <si>
    <t>Refection étanchéité toiture</t>
  </si>
  <si>
    <t xml:space="preserve">Flocage plancher haut des sous-sol </t>
  </si>
  <si>
    <t>4-6  Rue Rene Michel, Chaumes-en-Brie</t>
  </si>
  <si>
    <t>Remise en peinture des volets bois</t>
  </si>
  <si>
    <t>Remarques</t>
  </si>
  <si>
    <t>Infiltration d'eau qui fait sauter la VMC</t>
  </si>
  <si>
    <t>Suite DDE infiltration EP -  Devis 19464 20k€</t>
  </si>
  <si>
    <t>mettre à niveau entrée logements R+1</t>
  </si>
  <si>
    <t xml:space="preserve">Entretien et démoussage de la toiture </t>
  </si>
  <si>
    <t>Place Denis de Chailly , Nangis</t>
  </si>
  <si>
    <t>Devis à 10k</t>
  </si>
  <si>
    <t>Remplacement des volets bois - Maison Indiv ER.26612</t>
  </si>
  <si>
    <t>Devis Lecyuer à 40 k€</t>
  </si>
  <si>
    <t>Réfection des parties communes (étages)</t>
  </si>
  <si>
    <t>Devis GP19922</t>
  </si>
  <si>
    <t>Report 2024 - Remplacement porte de BOX</t>
  </si>
  <si>
    <t>Réparation ou remplacement de velux HS</t>
  </si>
  <si>
    <t>Refection toiture</t>
  </si>
  <si>
    <t>4 Rue du Toque Bois, Magny-le-Hongre - ER.B1399.001</t>
  </si>
  <si>
    <t>5 Indiv - Rue clefs des champs, Magny-le-Hongre - Indiv ER.34690</t>
  </si>
  <si>
    <t>GP10357</t>
  </si>
  <si>
    <t>Refection de couverture</t>
  </si>
  <si>
    <t>32 Rue Cornillot, Thorigny</t>
  </si>
  <si>
    <t>32 Rue Cornillot, Thorigny - ER.30522</t>
  </si>
  <si>
    <t>Refection Etanchéité Terrasse</t>
  </si>
  <si>
    <t>Recherche et réparation fuite sous dalle</t>
  </si>
  <si>
    <t>Résidence de la Treille, Souppes-sur-Loing  - ER.36447</t>
  </si>
  <si>
    <t>OBENGOUA</t>
  </si>
  <si>
    <t>Entretien de couverture</t>
  </si>
  <si>
    <t>Nouvelle demande 2025</t>
  </si>
  <si>
    <t>OS Interne 4932949</t>
  </si>
  <si>
    <t>OS Interne 4946961</t>
  </si>
  <si>
    <t>Isolation toiture dénudée suite travaux mitoyens</t>
  </si>
  <si>
    <t>OS Interne 4908095 et 4948182</t>
  </si>
  <si>
    <t>OS Interne 4944031 et 4946714</t>
  </si>
  <si>
    <t>OS Interne 4954368</t>
  </si>
  <si>
    <t>Remplacement Garde Corps rouillés</t>
  </si>
  <si>
    <t>OS Interne 4960403</t>
  </si>
  <si>
    <t>OS Interne 4958772</t>
  </si>
  <si>
    <t>2026.old</t>
  </si>
  <si>
    <t>Nouvelle demande</t>
  </si>
  <si>
    <t>ENTRETIEN COUVERTURES - LOCAUX ANNEXES</t>
  </si>
  <si>
    <t>DÉMOUSSAGE ET ENTRETIEN DES COUVERTURES</t>
  </si>
  <si>
    <t>Report 2025 - Ligne 552</t>
  </si>
  <si>
    <t>Report 2025 - Ligne 553</t>
  </si>
  <si>
    <t>Report 2025 - Ligne 558</t>
  </si>
  <si>
    <t>Report 2025 - Ligne 564</t>
  </si>
  <si>
    <t>Problème pied de colonne</t>
  </si>
  <si>
    <t>Reprise étanchéité Toiture gravillonnée</t>
  </si>
  <si>
    <t>Mise en peinture des Parties Communes</t>
  </si>
  <si>
    <t>Remplacement serrurerie porte piétonne parking</t>
  </si>
  <si>
    <t xml:space="preserve">Condamnation et réaffectation du local vélo </t>
  </si>
  <si>
    <t>Démoussage couverture</t>
  </si>
  <si>
    <t xml:space="preserve">Remplacement porte d'entrée piétonne parking </t>
  </si>
  <si>
    <t>Remplacement couvercle regard</t>
  </si>
  <si>
    <t>Reprise descente EP</t>
  </si>
  <si>
    <t>Mise en peinture Hall et Cage d'escalier et portes placards (8/10 pour 2026)</t>
  </si>
  <si>
    <t>Peinture parties communes ( 10 et 12 Rue bonaparte)</t>
  </si>
  <si>
    <t>Remplacement Volets Battants</t>
  </si>
  <si>
    <t xml:space="preserve">Remplacement tuiles suite infiltration </t>
  </si>
  <si>
    <t>Infiltration d'eau qui fait sauter la VMC (ER.28694)
Report 2025 - Ligne 561</t>
  </si>
  <si>
    <t>Reprise en peinture des cages d'escaliers</t>
  </si>
  <si>
    <t>Reprise des parties communes</t>
  </si>
  <si>
    <t>Isolation du plancher haut entrée parking sous-sol</t>
  </si>
  <si>
    <t>Nouvelle demande
DEVIS EVIZIO</t>
  </si>
  <si>
    <t xml:space="preserve">Entretien / Remplacement volets bois </t>
  </si>
  <si>
    <t>commencer par  Maison Indiv ER.26612</t>
  </si>
  <si>
    <t>Report 2025 - Ligne 540
DEVIS EVIZIO - 001899</t>
  </si>
  <si>
    <t>10 Rue Bonaparte, Ozoir-La-Ferrière</t>
  </si>
  <si>
    <t>12 Rue Bonaparte, Ozoir-La-Ferrière</t>
  </si>
  <si>
    <t>Réfection d'étanchéité</t>
  </si>
  <si>
    <t>DEVIS GP23020</t>
  </si>
  <si>
    <t>Entretien / Démoussage couvertures</t>
  </si>
  <si>
    <t>Réfection de l'étanchéité Batiment B</t>
  </si>
  <si>
    <t>Entretien toiture</t>
  </si>
  <si>
    <t>FLOCAGE PLANCHER HAUT DES SOUS-SOL  ( batiment 4,5,6 et 8)</t>
  </si>
  <si>
    <t>Report 2025 - Ligne 554 - GP10357</t>
  </si>
  <si>
    <t>Démoussage et entretien couverture</t>
  </si>
  <si>
    <t>Nettoyage DE COUVERTURES</t>
  </si>
  <si>
    <t>Report Notion</t>
  </si>
  <si>
    <t>Devis Lecuyer 1177.50</t>
  </si>
  <si>
    <t>Mise en place 3 volets battants - ER.26154</t>
  </si>
  <si>
    <t>Séparateur entre logements - ER.29915</t>
  </si>
  <si>
    <t>Devis Evizio</t>
  </si>
  <si>
    <t>Réfection des revêtements de sols - Batiment B</t>
  </si>
  <si>
    <t>Nouvelle demande - Risque de chute de personnes</t>
  </si>
  <si>
    <t>Nettoyage / Démoussage toiture</t>
  </si>
  <si>
    <t>Travaux de plomberie - Deviation Alimentation EF</t>
  </si>
  <si>
    <t>Remplacement portes entrées et LT</t>
  </si>
  <si>
    <t xml:space="preserve">Entretien des toitures terrasses </t>
  </si>
  <si>
    <t>Remplacement des menuiseries extérieure et MEP VR</t>
  </si>
  <si>
    <t>Ramonage des conduits VMC (Logement affecté : ER.26199)</t>
  </si>
  <si>
    <t>Reparation la fissure sur plafond SS + Local Vélo</t>
  </si>
  <si>
    <t>Nouvelle demande 
OS Interne 4917985
Devis GP22567</t>
  </si>
  <si>
    <t>reprise ponctuelle des decollements du revêtement des façades</t>
  </si>
  <si>
    <t>Compagne de remplacement de robinets thermostatiques</t>
  </si>
  <si>
    <t>Travaux sur SDB (plusieurs logements) - stabilité bac de douche</t>
  </si>
  <si>
    <t xml:space="preserve">Reparation infiltration LT Sous Sol </t>
  </si>
  <si>
    <t>Nettoyage / Polissage des revêtements de sols</t>
  </si>
  <si>
    <t>Travaux ponctuelle d'isolation de toiture</t>
  </si>
  <si>
    <t>Déplacement de UC de pompe hydrocarbure</t>
  </si>
  <si>
    <t>Mise en peinture des parties communes (étages)</t>
  </si>
  <si>
    <t>Mise en peinture des parties communes - Batiment B</t>
  </si>
  <si>
    <t>Nouvelle demande - DEVIS GP24631</t>
  </si>
  <si>
    <t>Travaux couverture suite infiltration ER.32817</t>
  </si>
  <si>
    <t>Changement Volets exterieurs - ER.26610</t>
  </si>
  <si>
    <t>ITI ponctuelle au niveau des ponts theriques chambre et SDB - 12 Rue</t>
  </si>
  <si>
    <t>12 Rue des reinettes, Villeneuve-Saint-Denis</t>
  </si>
  <si>
    <t>Diag Toiture et Infiltration toiture 3ème étage Bat 16, 18 et 20</t>
  </si>
  <si>
    <t>Démoussage/Nettoyage partie commune exterieure</t>
  </si>
  <si>
    <t>ITI suite pont thermique ER.26205</t>
  </si>
  <si>
    <t xml:space="preserve">Reprise fosse arrière batiment /infiltration </t>
  </si>
  <si>
    <t>Stop park</t>
  </si>
  <si>
    <t>Remplacement Pompe Hydrocarbure</t>
  </si>
  <si>
    <t>Remplacement Pompe de relevage</t>
  </si>
  <si>
    <t>Remplacement pompe relevage</t>
  </si>
  <si>
    <t>Pose Stop Park</t>
  </si>
  <si>
    <t>Report 441 2024</t>
  </si>
  <si>
    <t>Report 440 2024</t>
  </si>
  <si>
    <t>Dépose papier peint et peinture (2 batiments)</t>
  </si>
  <si>
    <t>Démoussage et entretien toiture</t>
  </si>
  <si>
    <t>Pose Stop Park (5 places)</t>
  </si>
  <si>
    <t>Pose Stop Park (6 places)</t>
  </si>
  <si>
    <t>14, rue Robert Thiboust 77700 Serris</t>
  </si>
  <si>
    <t>Pose Stop Park (12 places)</t>
  </si>
  <si>
    <t>Pose Stop Park (9 places)</t>
  </si>
  <si>
    <t>Devis CT-250919.1 Gayet</t>
  </si>
  <si>
    <t>Entretien terrasses gravillonnées et végétalisées</t>
  </si>
  <si>
    <t>-</t>
  </si>
  <si>
    <t>Diag / entretien de la toiture</t>
  </si>
  <si>
    <t>Sécurisation du pont élévateur</t>
  </si>
  <si>
    <t>2026/2027</t>
  </si>
  <si>
    <t>Nouvelle demande
Pris en charge par APEP</t>
  </si>
  <si>
    <t>Nouvelle demande (passer en GE)</t>
  </si>
  <si>
    <t>DP à déposer</t>
  </si>
  <si>
    <t>Nouvelle demande GT ISOLATOIN</t>
  </si>
  <si>
    <t>Nouvelle demande - voir faisabilité pour combiner les deux commandes</t>
  </si>
  <si>
    <t>Infiltration Tuile Cassé - ER.26604</t>
  </si>
  <si>
    <t>Reprise ponctuelle ITE suite Pont Thermique -Mme RACON (gt isolation)</t>
  </si>
  <si>
    <t>étudier faisabilité remise en conformité du pont</t>
  </si>
  <si>
    <t>Avenue de Saria, Serris</t>
  </si>
  <si>
    <t>4 rue du Toque Bois, Magny-le-Hongre - ER.26169</t>
  </si>
  <si>
    <t>12  RUE DU PRESSOIR, SERRIS</t>
  </si>
  <si>
    <t>6  RUE DU PRESSOIR, SERRIS - ER.26199</t>
  </si>
  <si>
    <t>AV. DE COEUILLY, LE PLESSIS-TREVISE</t>
  </si>
  <si>
    <t>Avenue Georges Pompidou , Sucy-en-Brie</t>
  </si>
  <si>
    <t>Impasse Calville, Villeneuve-Saint-Denis</t>
  </si>
  <si>
    <t>IMPASSE FARO, Villenueve Saint Denis</t>
  </si>
  <si>
    <t xml:space="preserve"> Rue des reinettes, Villeneuve-Saint-Denis</t>
  </si>
  <si>
    <t>Boulevard Robert Ballanger, Villepinte</t>
  </si>
  <si>
    <t>Rue Dupuy Crouzet, Choisy-Le-Roi</t>
  </si>
  <si>
    <t>Rue Daniel Toussaint, Valenton</t>
  </si>
  <si>
    <t>32 Rue Cornillot, Thorigny-sur-Marne</t>
  </si>
  <si>
    <t>Rue de Meaux, Vaujours</t>
  </si>
  <si>
    <t>1 Ruelle des Filloirs, Dammartin-en-Goele</t>
  </si>
  <si>
    <t>10  RUE DE STOCKHOLM, MONTEVRAIN</t>
  </si>
  <si>
    <t>Rue de la Clef des Champs, Magny-le-Hongre - ER.34600</t>
  </si>
  <si>
    <t>5 Indiv - Rue de la clef des Champs, Magny-le-Hongre</t>
  </si>
  <si>
    <t>Rue Rene Michel, Chaumes-en-Brie</t>
  </si>
  <si>
    <t>4, 5, 6 et 8 Rue Rene Michel, Chaumes-en-Brie</t>
  </si>
  <si>
    <t>Av. Moliere, Pl. Denis de Chailly, Nangis</t>
  </si>
  <si>
    <t>Pl. Pablo Picasso, Champs-sur-Marne</t>
  </si>
  <si>
    <t>4 Rue du Pressoir, Serris</t>
  </si>
  <si>
    <t>Remplacement caisson VMC</t>
  </si>
  <si>
    <t xml:space="preserve">Nouvelle demande - DEVIS CGMI </t>
  </si>
  <si>
    <t>Nouvelle demande - 3 Logements Capotage Zinc (à transmettre par corine)</t>
  </si>
  <si>
    <t xml:space="preserve">Capotage Zinc </t>
  </si>
  <si>
    <t>Av. Francois Mitterrand, Chelles</t>
  </si>
  <si>
    <t>Étanchéité remontée capilaire batiment</t>
  </si>
  <si>
    <t>NEW</t>
  </si>
  <si>
    <t xml:space="preserve">Condamnation Sous Sol </t>
  </si>
  <si>
    <t>Remplacemet Pompe de relevage Garage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</si>
</sst>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_-* #,##0.00\ [$€-1]_-;\-* #,##0.00\ [$€-1]_-;_-* &quot;-&quot;??\ [$€-1]_-"/>
  </numFmts>
  <fonts count="6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b/>
      <sz val="8"/>
      <name val="Calibri"/>
      <family val="2"/>
      <scheme val="minor"/>
    </font>
    <font>
      <b/>
      <strike/>
      <sz val="8"/>
      <color rgb="FFFF0000"/>
      <name val="Calibri"/>
      <family val="2"/>
      <scheme val="minor"/>
    </font>
    <font>
      <i/>
      <sz val="8"/>
      <name val="Calibri"/>
      <family val="2"/>
      <scheme val="minor"/>
    </font>
    <font>
      <b/>
      <i/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4"/>
      <name val="Calibri"/>
      <family val="2"/>
      <scheme val="minor"/>
    </font>
    <font>
      <sz val="8"/>
      <color theme="4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5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name val="Calibri"/>
      <family val="2"/>
      <scheme val="minor"/>
    </font>
    <font>
      <b/>
      <sz val="7"/>
      <color rgb="FF000000"/>
      <name val="Calibri"/>
      <family val="2"/>
      <scheme val="minor"/>
    </font>
    <font>
      <b/>
      <sz val="7"/>
      <color rgb="FFFF0000"/>
      <name val="Calibri"/>
      <family val="2"/>
      <scheme val="minor"/>
    </font>
    <font>
      <sz val="7"/>
      <color rgb="FF000000"/>
      <name val="Calibri"/>
      <family val="2"/>
      <scheme val="minor"/>
    </font>
    <font>
      <b/>
      <sz val="7"/>
      <color theme="5"/>
      <name val="Calibri"/>
      <family val="2"/>
      <scheme val="minor"/>
    </font>
    <font>
      <b/>
      <sz val="7"/>
      <color theme="4"/>
      <name val="Calibri"/>
      <family val="2"/>
      <scheme val="minor"/>
    </font>
    <font>
      <b/>
      <sz val="8"/>
      <color theme="9"/>
      <name val="Calibri"/>
      <family val="2"/>
      <scheme val="minor"/>
    </font>
    <font>
      <i/>
      <sz val="8"/>
      <color theme="9"/>
      <name val="Calibri"/>
      <family val="2"/>
      <scheme val="minor"/>
    </font>
    <font>
      <b/>
      <i/>
      <sz val="8"/>
      <color theme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9" tint="-0.249977111117893"/>
      <name val="Calibri"/>
      <family val="2"/>
      <scheme val="minor"/>
    </font>
    <font>
      <i/>
      <sz val="8"/>
      <color theme="9" tint="-0.249977111117893"/>
      <name val="Calibri"/>
      <family val="2"/>
      <scheme val="minor"/>
    </font>
    <font>
      <b/>
      <i/>
      <sz val="8"/>
      <color theme="9" tint="-0.249977111117893"/>
      <name val="Calibri"/>
      <family val="2"/>
      <scheme val="minor"/>
    </font>
    <font>
      <b/>
      <sz val="7"/>
      <color theme="9" tint="-0.249977111117893"/>
      <name val="Calibri"/>
      <family val="2"/>
      <scheme val="minor"/>
    </font>
    <font>
      <b/>
      <sz val="8"/>
      <color theme="8"/>
      <name val="Calibri"/>
      <family val="2"/>
      <scheme val="minor"/>
    </font>
    <font>
      <i/>
      <sz val="8"/>
      <color theme="8"/>
      <name val="Calibri"/>
      <family val="2"/>
      <scheme val="minor"/>
    </font>
    <font>
      <b/>
      <i/>
      <sz val="8"/>
      <color theme="8"/>
      <name val="Calibri"/>
      <family val="2"/>
      <scheme val="minor"/>
    </font>
    <font>
      <b/>
      <sz val="7"/>
      <color theme="8"/>
      <name val="Calibri"/>
      <family val="2"/>
      <scheme val="minor"/>
    </font>
    <font>
      <sz val="8"/>
      <color theme="8"/>
      <name val="Calibri"/>
      <family val="2"/>
      <scheme val="minor"/>
    </font>
    <font>
      <sz val="8"/>
      <color theme="9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8"/>
      <color theme="0" tint="-0.499984740745262"/>
      <name val="Calibri"/>
      <family val="2"/>
      <scheme val="minor"/>
    </font>
    <font>
      <b/>
      <i/>
      <sz val="8"/>
      <color theme="5" tint="-0.249977111117893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</cellStyleXfs>
  <cellXfs count="247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23" fillId="35" borderId="11" xfId="0" applyFont="1" applyFill="1" applyBorder="1" applyAlignment="1">
      <alignment horizontal="center" vertical="center"/>
    </xf>
    <xf numFmtId="0" fontId="23" fillId="34" borderId="11" xfId="46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64" fontId="0" fillId="0" borderId="0" xfId="42" applyNumberFormat="1" applyFont="1" applyAlignment="1" applyProtection="1">
      <alignment horizontal="center" vertical="center"/>
    </xf>
    <xf numFmtId="164" fontId="18" fillId="0" borderId="12" xfId="42" applyNumberFormat="1" applyFont="1" applyBorder="1" applyAlignment="1" applyProtection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8" fillId="0" borderId="0" xfId="42" applyNumberFormat="1" applyFont="1" applyBorder="1" applyAlignment="1" applyProtection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34" borderId="0" xfId="0" applyFont="1" applyFill="1" applyAlignment="1">
      <alignment horizontal="center" vertical="center"/>
    </xf>
    <xf numFmtId="1" fontId="30" fillId="34" borderId="0" xfId="0" applyNumberFormat="1" applyFont="1" applyFill="1" applyAlignment="1">
      <alignment horizontal="center" vertical="center"/>
    </xf>
    <xf numFmtId="0" fontId="30" fillId="34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0" fillId="34" borderId="0" xfId="46" applyFont="1" applyFill="1" applyAlignment="1">
      <alignment horizontal="center" vertical="center"/>
    </xf>
    <xf numFmtId="164" fontId="16" fillId="0" borderId="0" xfId="42" applyNumberFormat="1" applyFont="1"/>
    <xf numFmtId="164" fontId="0" fillId="0" borderId="0" xfId="42" applyNumberFormat="1" applyFont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3" fillId="34" borderId="12" xfId="46" applyFont="1" applyFill="1" applyBorder="1" applyAlignment="1">
      <alignment horizontal="center" vertical="center"/>
    </xf>
    <xf numFmtId="164" fontId="23" fillId="34" borderId="12" xfId="42" applyNumberFormat="1" applyFont="1" applyFill="1" applyBorder="1" applyAlignment="1" applyProtection="1">
      <alignment horizontal="center" vertical="center"/>
    </xf>
    <xf numFmtId="0" fontId="23" fillId="34" borderId="0" xfId="0" applyFont="1" applyFill="1" applyAlignment="1">
      <alignment horizontal="center" vertical="center"/>
    </xf>
    <xf numFmtId="0" fontId="23" fillId="35" borderId="0" xfId="0" applyFont="1" applyFill="1" applyAlignment="1">
      <alignment horizontal="center" vertical="center"/>
    </xf>
    <xf numFmtId="0" fontId="23" fillId="34" borderId="0" xfId="46" applyFont="1" applyFill="1" applyAlignment="1">
      <alignment horizontal="center" vertical="center"/>
    </xf>
    <xf numFmtId="0" fontId="23" fillId="34" borderId="0" xfId="44" applyFont="1" applyFill="1" applyAlignment="1">
      <alignment horizontal="left" vertical="center"/>
    </xf>
    <xf numFmtId="164" fontId="23" fillId="34" borderId="0" xfId="42" applyNumberFormat="1" applyFont="1" applyFill="1" applyBorder="1" applyAlignment="1" applyProtection="1">
      <alignment horizontal="center" vertical="center"/>
    </xf>
    <xf numFmtId="164" fontId="26" fillId="34" borderId="0" xfId="42" applyNumberFormat="1" applyFont="1" applyFill="1" applyBorder="1" applyAlignment="1" applyProtection="1">
      <alignment horizontal="center" vertical="center"/>
    </xf>
    <xf numFmtId="0" fontId="23" fillId="34" borderId="0" xfId="0" applyFont="1" applyFill="1" applyAlignment="1">
      <alignment horizontal="left" vertical="center"/>
    </xf>
    <xf numFmtId="0" fontId="23" fillId="34" borderId="0" xfId="45" applyFont="1" applyFill="1" applyAlignment="1">
      <alignment horizontal="center" vertical="center"/>
    </xf>
    <xf numFmtId="0" fontId="23" fillId="34" borderId="0" xfId="44" applyFont="1" applyFill="1" applyAlignment="1">
      <alignment horizontal="center" vertical="center"/>
    </xf>
    <xf numFmtId="0" fontId="25" fillId="34" borderId="0" xfId="46" applyFont="1" applyFill="1" applyAlignment="1">
      <alignment horizontal="center" vertical="center"/>
    </xf>
    <xf numFmtId="0" fontId="23" fillId="34" borderId="0" xfId="0" applyFont="1" applyFill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/>
    </xf>
    <xf numFmtId="1" fontId="27" fillId="34" borderId="12" xfId="0" applyNumberFormat="1" applyFont="1" applyFill="1" applyBorder="1" applyAlignment="1">
      <alignment horizontal="center" vertical="center"/>
    </xf>
    <xf numFmtId="0" fontId="29" fillId="0" borderId="12" xfId="0" applyFont="1" applyBorder="1" applyAlignment="1">
      <alignment horizontal="left" vertical="center" wrapText="1" indent="1"/>
    </xf>
    <xf numFmtId="1" fontId="23" fillId="34" borderId="0" xfId="0" applyNumberFormat="1" applyFont="1" applyFill="1" applyAlignment="1">
      <alignment horizontal="center" vertical="center"/>
    </xf>
    <xf numFmtId="1" fontId="27" fillId="34" borderId="0" xfId="0" applyNumberFormat="1" applyFont="1" applyFill="1" applyAlignment="1">
      <alignment horizontal="center" vertical="center"/>
    </xf>
    <xf numFmtId="0" fontId="28" fillId="34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 wrapText="1" indent="1"/>
    </xf>
    <xf numFmtId="0" fontId="28" fillId="34" borderId="0" xfId="0" applyFont="1" applyFill="1" applyAlignment="1">
      <alignment horizontal="left" vertical="center" wrapText="1"/>
    </xf>
    <xf numFmtId="0" fontId="28" fillId="34" borderId="0" xfId="45" applyFont="1" applyFill="1" applyAlignment="1">
      <alignment horizontal="left" vertical="center"/>
    </xf>
    <xf numFmtId="0" fontId="30" fillId="34" borderId="0" xfId="0" applyFont="1" applyFill="1" applyAlignment="1" applyProtection="1">
      <alignment horizontal="center" vertical="center"/>
      <protection locked="0"/>
    </xf>
    <xf numFmtId="0" fontId="30" fillId="34" borderId="0" xfId="0" applyFont="1" applyFill="1" applyAlignment="1" applyProtection="1">
      <alignment horizontal="left" vertical="center"/>
      <protection locked="0"/>
    </xf>
    <xf numFmtId="164" fontId="30" fillId="34" borderId="0" xfId="42" applyNumberFormat="1" applyFont="1" applyFill="1" applyBorder="1" applyAlignment="1" applyProtection="1">
      <alignment horizontal="center" vertical="center"/>
      <protection locked="0"/>
    </xf>
    <xf numFmtId="0" fontId="28" fillId="34" borderId="12" xfId="0" applyFont="1" applyFill="1" applyBorder="1" applyAlignment="1">
      <alignment horizontal="left" vertical="center"/>
    </xf>
    <xf numFmtId="0" fontId="32" fillId="34" borderId="0" xfId="44" applyFont="1" applyFill="1" applyAlignment="1">
      <alignment horizontal="left" vertical="center"/>
    </xf>
    <xf numFmtId="164" fontId="32" fillId="34" borderId="0" xfId="42" applyNumberFormat="1" applyFont="1" applyFill="1" applyBorder="1" applyAlignment="1" applyProtection="1">
      <alignment horizontal="center" vertical="center"/>
    </xf>
    <xf numFmtId="0" fontId="32" fillId="34" borderId="0" xfId="0" applyFont="1" applyFill="1" applyAlignment="1">
      <alignment horizontal="left" vertical="center"/>
    </xf>
    <xf numFmtId="164" fontId="30" fillId="36" borderId="0" xfId="42" applyNumberFormat="1" applyFont="1" applyFill="1" applyBorder="1" applyAlignment="1" applyProtection="1">
      <alignment horizontal="center" vertical="center"/>
    </xf>
    <xf numFmtId="0" fontId="30" fillId="35" borderId="0" xfId="0" applyFont="1" applyFill="1" applyAlignment="1">
      <alignment horizontal="center" vertical="center"/>
    </xf>
    <xf numFmtId="0" fontId="30" fillId="34" borderId="0" xfId="44" applyFont="1" applyFill="1" applyAlignment="1">
      <alignment horizontal="left" vertical="center"/>
    </xf>
    <xf numFmtId="164" fontId="28" fillId="34" borderId="0" xfId="42" applyNumberFormat="1" applyFont="1" applyFill="1" applyBorder="1" applyAlignment="1" applyProtection="1">
      <alignment horizontal="center" vertical="center"/>
    </xf>
    <xf numFmtId="0" fontId="23" fillId="34" borderId="12" xfId="0" applyFont="1" applyFill="1" applyBorder="1" applyAlignment="1">
      <alignment horizontal="left" vertical="center"/>
    </xf>
    <xf numFmtId="0" fontId="31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164" fontId="22" fillId="0" borderId="0" xfId="0" applyNumberFormat="1" applyFont="1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33" fillId="34" borderId="0" xfId="44" applyFont="1" applyFill="1" applyAlignment="1">
      <alignment horizontal="left" vertical="center"/>
    </xf>
    <xf numFmtId="164" fontId="33" fillId="34" borderId="0" xfId="42" applyNumberFormat="1" applyFont="1" applyFill="1" applyBorder="1" applyAlignment="1" applyProtection="1">
      <alignment horizontal="center" vertical="center"/>
    </xf>
    <xf numFmtId="0" fontId="34" fillId="34" borderId="0" xfId="44" applyFont="1" applyFill="1" applyAlignment="1">
      <alignment horizontal="left" vertical="center"/>
    </xf>
    <xf numFmtId="0" fontId="34" fillId="34" borderId="0" xfId="0" applyFont="1" applyFill="1" applyAlignment="1" applyProtection="1">
      <alignment horizontal="left" vertical="center"/>
      <protection locked="0"/>
    </xf>
    <xf numFmtId="0" fontId="35" fillId="0" borderId="0" xfId="0" applyFont="1"/>
    <xf numFmtId="0" fontId="36" fillId="33" borderId="10" xfId="0" applyFont="1" applyFill="1" applyBorder="1" applyAlignment="1">
      <alignment horizontal="center" vertical="center" wrapText="1"/>
    </xf>
    <xf numFmtId="0" fontId="37" fillId="34" borderId="0" xfId="44" applyFont="1" applyFill="1" applyAlignment="1">
      <alignment horizontal="left" vertical="center"/>
    </xf>
    <xf numFmtId="0" fontId="38" fillId="34" borderId="0" xfId="44" applyFont="1" applyFill="1" applyAlignment="1">
      <alignment horizontal="left" vertical="center"/>
    </xf>
    <xf numFmtId="0" fontId="38" fillId="34" borderId="0" xfId="0" applyFont="1" applyFill="1" applyAlignment="1">
      <alignment horizontal="left" vertical="center"/>
    </xf>
    <xf numFmtId="0" fontId="39" fillId="34" borderId="0" xfId="44" applyFont="1" applyFill="1" applyAlignment="1">
      <alignment horizontal="left" vertical="center"/>
    </xf>
    <xf numFmtId="0" fontId="37" fillId="34" borderId="0" xfId="0" applyFont="1" applyFill="1" applyAlignment="1">
      <alignment horizontal="left" vertical="center"/>
    </xf>
    <xf numFmtId="0" fontId="40" fillId="34" borderId="0" xfId="44" applyFont="1" applyFill="1" applyAlignment="1">
      <alignment horizontal="left" vertical="center"/>
    </xf>
    <xf numFmtId="0" fontId="41" fillId="34" borderId="0" xfId="44" applyFont="1" applyFill="1" applyAlignment="1">
      <alignment horizontal="left" vertical="center"/>
    </xf>
    <xf numFmtId="0" fontId="42" fillId="34" borderId="0" xfId="44" applyFont="1" applyFill="1" applyAlignment="1">
      <alignment horizontal="left" vertical="center"/>
    </xf>
    <xf numFmtId="0" fontId="42" fillId="34" borderId="0" xfId="0" applyFont="1" applyFill="1" applyAlignment="1" applyProtection="1">
      <alignment horizontal="left" vertical="center"/>
      <protection locked="0"/>
    </xf>
    <xf numFmtId="0" fontId="36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2" fillId="38" borderId="0" xfId="44" applyFont="1" applyFill="1" applyAlignment="1">
      <alignment horizontal="left" vertical="center"/>
    </xf>
    <xf numFmtId="164" fontId="23" fillId="37" borderId="0" xfId="42" applyNumberFormat="1" applyFont="1" applyFill="1" applyBorder="1" applyAlignment="1" applyProtection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46" applyFont="1" applyAlignment="1">
      <alignment horizontal="center" vertical="center"/>
    </xf>
    <xf numFmtId="0" fontId="23" fillId="0" borderId="0" xfId="44" applyFont="1" applyAlignment="1">
      <alignment horizontal="left" vertical="center"/>
    </xf>
    <xf numFmtId="164" fontId="23" fillId="0" borderId="0" xfId="42" applyNumberFormat="1" applyFont="1" applyFill="1" applyBorder="1" applyAlignment="1" applyProtection="1">
      <alignment horizontal="center" vertical="center"/>
    </xf>
    <xf numFmtId="164" fontId="18" fillId="0" borderId="0" xfId="42" applyNumberFormat="1" applyFont="1" applyFill="1" applyBorder="1" applyAlignment="1" applyProtection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0" borderId="0" xfId="0" applyFont="1" applyAlignment="1">
      <alignment horizontal="left" vertical="center" wrapText="1"/>
    </xf>
    <xf numFmtId="0" fontId="37" fillId="0" borderId="0" xfId="44" applyFont="1" applyAlignment="1">
      <alignment horizontal="left" vertical="center"/>
    </xf>
    <xf numFmtId="0" fontId="43" fillId="34" borderId="0" xfId="0" applyFont="1" applyFill="1" applyAlignment="1">
      <alignment horizontal="center" vertical="center"/>
    </xf>
    <xf numFmtId="1" fontId="44" fillId="34" borderId="0" xfId="0" applyNumberFormat="1" applyFont="1" applyFill="1" applyAlignment="1">
      <alignment horizontal="center" vertical="center"/>
    </xf>
    <xf numFmtId="0" fontId="45" fillId="34" borderId="0" xfId="0" applyFont="1" applyFill="1" applyAlignment="1">
      <alignment horizontal="left" vertical="center"/>
    </xf>
    <xf numFmtId="0" fontId="44" fillId="0" borderId="0" xfId="0" applyFont="1" applyAlignment="1">
      <alignment horizontal="left" vertical="center" wrapText="1" indent="1"/>
    </xf>
    <xf numFmtId="0" fontId="44" fillId="0" borderId="0" xfId="0" applyFont="1" applyAlignment="1">
      <alignment horizontal="center" vertical="center" wrapText="1"/>
    </xf>
    <xf numFmtId="0" fontId="43" fillId="34" borderId="0" xfId="0" applyFont="1" applyFill="1" applyAlignment="1">
      <alignment horizontal="left" vertical="center"/>
    </xf>
    <xf numFmtId="0" fontId="43" fillId="35" borderId="0" xfId="0" applyFont="1" applyFill="1" applyAlignment="1">
      <alignment horizontal="center" vertical="center"/>
    </xf>
    <xf numFmtId="0" fontId="43" fillId="34" borderId="0" xfId="44" applyFont="1" applyFill="1" applyAlignment="1">
      <alignment horizontal="left" vertical="center"/>
    </xf>
    <xf numFmtId="0" fontId="43" fillId="34" borderId="0" xfId="0" applyFont="1" applyFill="1" applyAlignment="1">
      <alignment horizontal="center" vertical="center" wrapText="1"/>
    </xf>
    <xf numFmtId="0" fontId="45" fillId="34" borderId="0" xfId="0" applyFont="1" applyFill="1" applyAlignment="1">
      <alignment horizontal="left" vertical="center" wrapText="1"/>
    </xf>
    <xf numFmtId="0" fontId="45" fillId="34" borderId="0" xfId="45" applyFont="1" applyFill="1" applyAlignment="1">
      <alignment horizontal="left" vertical="center"/>
    </xf>
    <xf numFmtId="0" fontId="43" fillId="34" borderId="0" xfId="45" applyFont="1" applyFill="1" applyAlignment="1">
      <alignment horizontal="center" vertical="center"/>
    </xf>
    <xf numFmtId="164" fontId="33" fillId="36" borderId="0" xfId="42" applyNumberFormat="1" applyFont="1" applyFill="1" applyBorder="1" applyAlignment="1" applyProtection="1">
      <alignment horizontal="center" vertical="center"/>
    </xf>
    <xf numFmtId="164" fontId="33" fillId="34" borderId="0" xfId="42" applyNumberFormat="1" applyFont="1" applyFill="1" applyBorder="1" applyAlignment="1" applyProtection="1">
      <alignment horizontal="center" vertical="center"/>
      <protection locked="0"/>
    </xf>
    <xf numFmtId="0" fontId="23" fillId="0" borderId="0" xfId="44" applyFont="1" applyAlignment="1">
      <alignment horizontal="center" vertical="center"/>
    </xf>
    <xf numFmtId="0" fontId="30" fillId="0" borderId="0" xfId="0" applyFont="1" applyAlignment="1" applyProtection="1">
      <alignment horizontal="center" vertical="center"/>
      <protection locked="0"/>
    </xf>
    <xf numFmtId="0" fontId="32" fillId="0" borderId="0" xfId="44" applyFont="1" applyAlignment="1">
      <alignment horizontal="left" vertical="center"/>
    </xf>
    <xf numFmtId="164" fontId="30" fillId="0" borderId="0" xfId="42" applyNumberFormat="1" applyFont="1" applyFill="1" applyBorder="1" applyAlignment="1" applyProtection="1">
      <alignment horizontal="center" vertical="center"/>
      <protection locked="0"/>
    </xf>
    <xf numFmtId="164" fontId="32" fillId="0" borderId="0" xfId="42" applyNumberFormat="1" applyFont="1" applyFill="1" applyBorder="1" applyAlignment="1" applyProtection="1">
      <alignment horizontal="center" vertical="center"/>
    </xf>
    <xf numFmtId="0" fontId="32" fillId="0" borderId="0" xfId="0" applyFont="1" applyAlignment="1">
      <alignment horizontal="left" vertical="center"/>
    </xf>
    <xf numFmtId="0" fontId="25" fillId="0" borderId="0" xfId="46" applyFont="1" applyAlignment="1">
      <alignment horizontal="center" vertical="center"/>
    </xf>
    <xf numFmtId="0" fontId="28" fillId="0" borderId="0" xfId="45" applyFont="1" applyAlignment="1">
      <alignment horizontal="left" vertical="center"/>
    </xf>
    <xf numFmtId="0" fontId="23" fillId="0" borderId="0" xfId="45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44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8" fillId="0" borderId="0" xfId="44" applyFont="1" applyAlignment="1">
      <alignment horizontal="left" vertical="center"/>
    </xf>
    <xf numFmtId="164" fontId="28" fillId="0" borderId="0" xfId="42" applyNumberFormat="1" applyFont="1" applyFill="1" applyBorder="1" applyAlignment="1" applyProtection="1">
      <alignment horizontal="center" vertical="center"/>
    </xf>
    <xf numFmtId="164" fontId="26" fillId="0" borderId="0" xfId="42" applyNumberFormat="1" applyFont="1" applyFill="1" applyBorder="1" applyAlignment="1" applyProtection="1">
      <alignment horizontal="center" vertical="center"/>
    </xf>
    <xf numFmtId="0" fontId="30" fillId="0" borderId="0" xfId="46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6" fillId="33" borderId="10" xfId="0" applyFont="1" applyFill="1" applyBorder="1" applyAlignment="1">
      <alignment horizontal="center" vertical="center" wrapText="1"/>
    </xf>
    <xf numFmtId="164" fontId="22" fillId="33" borderId="0" xfId="0" applyNumberFormat="1" applyFont="1" applyFill="1" applyAlignment="1">
      <alignment horizontal="center" vertical="center"/>
    </xf>
    <xf numFmtId="164" fontId="23" fillId="33" borderId="0" xfId="42" applyNumberFormat="1" applyFont="1" applyFill="1" applyBorder="1" applyAlignment="1" applyProtection="1">
      <alignment horizontal="center" vertical="center"/>
    </xf>
    <xf numFmtId="164" fontId="30" fillId="33" borderId="0" xfId="42" applyNumberFormat="1" applyFont="1" applyFill="1" applyBorder="1" applyAlignment="1" applyProtection="1">
      <alignment horizontal="center" vertical="center"/>
      <protection locked="0"/>
    </xf>
    <xf numFmtId="164" fontId="32" fillId="33" borderId="0" xfId="42" applyNumberFormat="1" applyFont="1" applyFill="1" applyBorder="1" applyAlignment="1" applyProtection="1">
      <alignment horizontal="center" vertical="center"/>
    </xf>
    <xf numFmtId="164" fontId="28" fillId="33" borderId="0" xfId="42" applyNumberFormat="1" applyFont="1" applyFill="1" applyBorder="1" applyAlignment="1" applyProtection="1">
      <alignment horizontal="center" vertical="center"/>
    </xf>
    <xf numFmtId="0" fontId="0" fillId="33" borderId="0" xfId="0" applyFill="1"/>
    <xf numFmtId="164" fontId="0" fillId="33" borderId="0" xfId="42" applyNumberFormat="1" applyFont="1" applyFill="1"/>
    <xf numFmtId="0" fontId="47" fillId="0" borderId="0" xfId="0" applyFont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47" fillId="0" borderId="0" xfId="46" applyFont="1" applyAlignment="1">
      <alignment horizontal="center" vertical="center"/>
    </xf>
    <xf numFmtId="0" fontId="47" fillId="0" borderId="0" xfId="44" applyFont="1" applyAlignment="1">
      <alignment horizontal="left" vertical="center" wrapText="1"/>
    </xf>
    <xf numFmtId="0" fontId="50" fillId="0" borderId="0" xfId="44" applyFont="1" applyAlignment="1">
      <alignment horizontal="left" vertical="center"/>
    </xf>
    <xf numFmtId="0" fontId="16" fillId="0" borderId="10" xfId="0" applyFont="1" applyBorder="1" applyAlignment="1">
      <alignment horizontal="center" vertical="center" wrapText="1"/>
    </xf>
    <xf numFmtId="164" fontId="16" fillId="0" borderId="0" xfId="42" applyNumberFormat="1" applyFont="1" applyFill="1"/>
    <xf numFmtId="164" fontId="0" fillId="0" borderId="0" xfId="42" applyNumberFormat="1" applyFont="1" applyFill="1"/>
    <xf numFmtId="1" fontId="27" fillId="33" borderId="0" xfId="0" applyNumberFormat="1" applyFont="1" applyFill="1" applyAlignment="1">
      <alignment horizontal="center" vertical="center"/>
    </xf>
    <xf numFmtId="1" fontId="30" fillId="33" borderId="0" xfId="0" applyNumberFormat="1" applyFont="1" applyFill="1" applyAlignment="1">
      <alignment horizontal="center" vertical="center"/>
    </xf>
    <xf numFmtId="1" fontId="44" fillId="33" borderId="0" xfId="0" applyNumberFormat="1" applyFont="1" applyFill="1" applyAlignment="1">
      <alignment horizontal="center" vertical="center"/>
    </xf>
    <xf numFmtId="1" fontId="48" fillId="33" borderId="0" xfId="0" applyNumberFormat="1" applyFont="1" applyFill="1" applyAlignment="1">
      <alignment horizontal="center" vertical="center"/>
    </xf>
    <xf numFmtId="0" fontId="29" fillId="33" borderId="0" xfId="0" applyFont="1" applyFill="1" applyAlignment="1">
      <alignment horizontal="left" vertical="center" wrapText="1" indent="1"/>
    </xf>
    <xf numFmtId="0" fontId="29" fillId="33" borderId="0" xfId="0" applyFont="1" applyFill="1" applyAlignment="1">
      <alignment horizontal="center" vertical="center" wrapText="1"/>
    </xf>
    <xf numFmtId="0" fontId="31" fillId="33" borderId="0" xfId="0" applyFont="1" applyFill="1" applyAlignment="1">
      <alignment horizontal="left" vertical="center" wrapText="1"/>
    </xf>
    <xf numFmtId="0" fontId="31" fillId="33" borderId="0" xfId="0" applyFont="1" applyFill="1" applyAlignment="1">
      <alignment horizontal="center" vertical="center" wrapText="1"/>
    </xf>
    <xf numFmtId="0" fontId="44" fillId="33" borderId="0" xfId="0" applyFont="1" applyFill="1" applyAlignment="1">
      <alignment horizontal="left" vertical="center" wrapText="1" indent="1"/>
    </xf>
    <xf numFmtId="0" fontId="44" fillId="33" borderId="0" xfId="0" applyFont="1" applyFill="1" applyAlignment="1">
      <alignment horizontal="center" vertical="center" wrapText="1"/>
    </xf>
    <xf numFmtId="0" fontId="48" fillId="33" borderId="0" xfId="0" applyFont="1" applyFill="1" applyAlignment="1">
      <alignment horizontal="left" vertical="center" wrapText="1" indent="1"/>
    </xf>
    <xf numFmtId="0" fontId="48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left" vertical="center" wrapText="1"/>
    </xf>
    <xf numFmtId="0" fontId="18" fillId="33" borderId="0" xfId="0" applyFont="1" applyFill="1" applyAlignment="1">
      <alignment horizontal="center" vertical="center" wrapText="1"/>
    </xf>
    <xf numFmtId="0" fontId="32" fillId="0" borderId="0" xfId="44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23" fillId="0" borderId="0" xfId="44" applyFont="1" applyAlignment="1">
      <alignment horizontal="left" vertical="center" wrapText="1"/>
    </xf>
    <xf numFmtId="0" fontId="33" fillId="0" borderId="0" xfId="44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3" fillId="0" borderId="0" xfId="44" applyFont="1" applyAlignment="1">
      <alignment horizontal="left" vertical="center" wrapText="1"/>
    </xf>
    <xf numFmtId="0" fontId="40" fillId="0" borderId="0" xfId="44" applyFont="1" applyAlignment="1">
      <alignment horizontal="left" vertical="center" wrapText="1"/>
    </xf>
    <xf numFmtId="0" fontId="50" fillId="0" borderId="0" xfId="44" applyFont="1" applyAlignment="1">
      <alignment horizontal="left" vertical="center" wrapText="1"/>
    </xf>
    <xf numFmtId="0" fontId="51" fillId="0" borderId="0" xfId="0" applyFont="1" applyAlignment="1">
      <alignment horizontal="center" vertical="center"/>
    </xf>
    <xf numFmtId="1" fontId="52" fillId="33" borderId="0" xfId="0" applyNumberFormat="1" applyFont="1" applyFill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2" fillId="33" borderId="0" xfId="0" applyFont="1" applyFill="1" applyAlignment="1">
      <alignment horizontal="left" vertical="center" wrapText="1" indent="1"/>
    </xf>
    <xf numFmtId="0" fontId="52" fillId="33" borderId="0" xfId="0" applyFont="1" applyFill="1" applyAlignment="1">
      <alignment horizontal="center" vertical="center" wrapText="1"/>
    </xf>
    <xf numFmtId="0" fontId="51" fillId="0" borderId="0" xfId="44" applyFont="1" applyAlignment="1">
      <alignment horizontal="left" vertical="center" wrapText="1"/>
    </xf>
    <xf numFmtId="164" fontId="51" fillId="33" borderId="0" xfId="42" applyNumberFormat="1" applyFont="1" applyFill="1" applyBorder="1" applyAlignment="1" applyProtection="1">
      <alignment horizontal="center" vertical="center"/>
    </xf>
    <xf numFmtId="0" fontId="51" fillId="0" borderId="0" xfId="0" applyFont="1" applyAlignment="1" applyProtection="1">
      <alignment horizontal="center" vertical="center"/>
      <protection locked="0"/>
    </xf>
    <xf numFmtId="1" fontId="51" fillId="33" borderId="0" xfId="0" applyNumberFormat="1" applyFont="1" applyFill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55" fillId="33" borderId="0" xfId="0" applyFont="1" applyFill="1" applyAlignment="1">
      <alignment horizontal="left" vertical="center" wrapText="1"/>
    </xf>
    <xf numFmtId="0" fontId="55" fillId="33" borderId="0" xfId="0" applyFont="1" applyFill="1" applyAlignment="1">
      <alignment horizontal="center" vertical="center" wrapText="1"/>
    </xf>
    <xf numFmtId="0" fontId="51" fillId="0" borderId="0" xfId="46" applyFont="1" applyAlignment="1">
      <alignment horizontal="center" vertical="center"/>
    </xf>
    <xf numFmtId="1" fontId="51" fillId="0" borderId="0" xfId="0" applyNumberFormat="1" applyFont="1" applyAlignment="1">
      <alignment horizontal="center" vertical="center"/>
    </xf>
    <xf numFmtId="0" fontId="47" fillId="0" borderId="0" xfId="0" applyFont="1" applyAlignment="1" applyProtection="1">
      <alignment horizontal="center" vertical="center"/>
      <protection locked="0"/>
    </xf>
    <xf numFmtId="1" fontId="47" fillId="33" borderId="0" xfId="0" applyNumberFormat="1" applyFont="1" applyFill="1" applyAlignment="1">
      <alignment horizontal="center" vertical="center"/>
    </xf>
    <xf numFmtId="0" fontId="56" fillId="33" borderId="0" xfId="0" applyFont="1" applyFill="1" applyAlignment="1">
      <alignment horizontal="left" vertical="center" wrapText="1"/>
    </xf>
    <xf numFmtId="0" fontId="56" fillId="33" borderId="0" xfId="0" applyFont="1" applyFill="1" applyAlignment="1">
      <alignment horizontal="center" vertical="center" wrapText="1"/>
    </xf>
    <xf numFmtId="0" fontId="47" fillId="0" borderId="0" xfId="0" applyFont="1" applyAlignment="1" applyProtection="1">
      <alignment horizontal="left" vertical="center" wrapText="1"/>
      <protection locked="0"/>
    </xf>
    <xf numFmtId="0" fontId="47" fillId="0" borderId="0" xfId="0" applyFont="1" applyAlignment="1" applyProtection="1">
      <alignment horizontal="left" vertical="center"/>
      <protection locked="0"/>
    </xf>
    <xf numFmtId="164" fontId="47" fillId="33" borderId="0" xfId="42" applyNumberFormat="1" applyFont="1" applyFill="1" applyBorder="1" applyAlignment="1" applyProtection="1">
      <alignment horizontal="center" vertical="center"/>
      <protection locked="0"/>
    </xf>
    <xf numFmtId="164" fontId="47" fillId="33" borderId="0" xfId="42" applyNumberFormat="1" applyFont="1" applyFill="1" applyBorder="1" applyAlignment="1" applyProtection="1">
      <alignment horizontal="center" vertical="center"/>
    </xf>
    <xf numFmtId="0" fontId="47" fillId="0" borderId="0" xfId="0" applyFont="1" applyAlignment="1">
      <alignment horizontal="left" vertical="center"/>
    </xf>
    <xf numFmtId="0" fontId="23" fillId="0" borderId="0" xfId="0" applyFont="1" applyAlignment="1" applyProtection="1">
      <alignment horizontal="center" vertical="center"/>
      <protection locked="0"/>
    </xf>
    <xf numFmtId="1" fontId="23" fillId="33" borderId="0" xfId="0" applyNumberFormat="1" applyFont="1" applyFill="1" applyAlignment="1">
      <alignment horizontal="center" vertical="center"/>
    </xf>
    <xf numFmtId="0" fontId="20" fillId="33" borderId="0" xfId="0" applyFont="1" applyFill="1" applyAlignment="1">
      <alignment horizontal="left" vertical="center" wrapText="1"/>
    </xf>
    <xf numFmtId="0" fontId="20" fillId="33" borderId="0" xfId="0" applyFont="1" applyFill="1" applyAlignment="1">
      <alignment horizontal="center" vertical="center" wrapText="1"/>
    </xf>
    <xf numFmtId="0" fontId="54" fillId="0" borderId="0" xfId="44" applyFont="1" applyAlignment="1">
      <alignment horizontal="left" vertical="center"/>
    </xf>
    <xf numFmtId="0" fontId="53" fillId="0" borderId="0" xfId="0" applyFont="1" applyAlignment="1">
      <alignment horizontal="left" vertical="center" wrapText="1"/>
    </xf>
    <xf numFmtId="0" fontId="57" fillId="0" borderId="0" xfId="0" applyFont="1" applyAlignment="1">
      <alignment wrapText="1"/>
    </xf>
    <xf numFmtId="0" fontId="58" fillId="33" borderId="10" xfId="0" applyFont="1" applyFill="1" applyBorder="1" applyAlignment="1">
      <alignment horizontal="center" vertical="center" wrapText="1"/>
    </xf>
    <xf numFmtId="44" fontId="59" fillId="0" borderId="0" xfId="42" applyFont="1" applyAlignment="1">
      <alignment horizontal="center" vertical="center" wrapText="1"/>
    </xf>
    <xf numFmtId="44" fontId="59" fillId="0" borderId="0" xfId="42" applyFont="1" applyAlignment="1">
      <alignment horizontal="left" vertical="center" wrapText="1"/>
    </xf>
    <xf numFmtId="44" fontId="59" fillId="0" borderId="0" xfId="42" applyFont="1" applyBorder="1" applyAlignment="1">
      <alignment horizontal="left" vertical="center" wrapText="1"/>
    </xf>
    <xf numFmtId="44" fontId="59" fillId="0" borderId="0" xfId="42" applyFont="1" applyAlignment="1" applyProtection="1">
      <alignment horizontal="left" vertical="center" wrapText="1"/>
      <protection locked="0"/>
    </xf>
    <xf numFmtId="0" fontId="60" fillId="0" borderId="0" xfId="0" applyFont="1" applyAlignment="1">
      <alignment horizontal="left" vertical="center"/>
    </xf>
    <xf numFmtId="0" fontId="47" fillId="39" borderId="0" xfId="0" applyFont="1" applyFill="1" applyAlignment="1">
      <alignment horizontal="center" vertical="center"/>
    </xf>
    <xf numFmtId="1" fontId="48" fillId="39" borderId="0" xfId="0" applyNumberFormat="1" applyFont="1" applyFill="1" applyAlignment="1">
      <alignment horizontal="center" vertical="center"/>
    </xf>
    <xf numFmtId="0" fontId="48" fillId="39" borderId="0" xfId="0" applyFont="1" applyFill="1" applyAlignment="1">
      <alignment horizontal="left" vertical="center" wrapText="1" indent="1"/>
    </xf>
    <xf numFmtId="0" fontId="48" fillId="39" borderId="0" xfId="0" applyFont="1" applyFill="1" applyAlignment="1">
      <alignment horizontal="center" vertical="center" wrapText="1"/>
    </xf>
    <xf numFmtId="0" fontId="23" fillId="39" borderId="0" xfId="0" applyFont="1" applyFill="1" applyAlignment="1">
      <alignment horizontal="center" vertical="center"/>
    </xf>
    <xf numFmtId="0" fontId="47" fillId="39" borderId="0" xfId="44" applyFont="1" applyFill="1" applyAlignment="1">
      <alignment horizontal="left" vertical="center" wrapText="1"/>
    </xf>
    <xf numFmtId="0" fontId="50" fillId="39" borderId="0" xfId="44" applyFont="1" applyFill="1" applyAlignment="1">
      <alignment horizontal="left" vertical="center"/>
    </xf>
    <xf numFmtId="164" fontId="32" fillId="39" borderId="0" xfId="42" applyNumberFormat="1" applyFont="1" applyFill="1" applyBorder="1" applyAlignment="1" applyProtection="1">
      <alignment horizontal="center" vertical="center"/>
    </xf>
    <xf numFmtId="0" fontId="18" fillId="0" borderId="0" xfId="0" applyFont="1"/>
    <xf numFmtId="0" fontId="21" fillId="33" borderId="10" xfId="0" applyFont="1" applyFill="1" applyBorder="1" applyAlignment="1">
      <alignment horizontal="center" vertical="center" wrapText="1"/>
    </xf>
    <xf numFmtId="1" fontId="33" fillId="0" borderId="0" xfId="0" applyNumberFormat="1" applyFont="1" applyAlignment="1">
      <alignment horizontal="center" vertical="center"/>
    </xf>
    <xf numFmtId="1" fontId="61" fillId="33" borderId="0" xfId="0" applyNumberFormat="1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61" fillId="33" borderId="0" xfId="0" applyFont="1" applyFill="1" applyAlignment="1">
      <alignment horizontal="left" vertical="center" wrapText="1" indent="1"/>
    </xf>
    <xf numFmtId="0" fontId="61" fillId="33" borderId="0" xfId="0" applyFont="1" applyFill="1" applyAlignment="1">
      <alignment horizontal="center" vertical="center" wrapText="1"/>
    </xf>
    <xf numFmtId="0" fontId="33" fillId="0" borderId="0" xfId="46" applyFont="1" applyAlignment="1">
      <alignment horizontal="center" vertical="center"/>
    </xf>
    <xf numFmtId="0" fontId="27" fillId="33" borderId="0" xfId="0" applyFont="1" applyFill="1" applyAlignment="1">
      <alignment horizontal="left" vertical="center" wrapText="1" indent="1"/>
    </xf>
    <xf numFmtId="0" fontId="27" fillId="33" borderId="0" xfId="0" applyFont="1" applyFill="1" applyAlignment="1">
      <alignment horizontal="center" vertical="center" wrapText="1"/>
    </xf>
    <xf numFmtId="1" fontId="27" fillId="39" borderId="0" xfId="0" applyNumberFormat="1" applyFont="1" applyFill="1" applyAlignment="1">
      <alignment horizontal="center" vertical="center"/>
    </xf>
    <xf numFmtId="0" fontId="29" fillId="39" borderId="0" xfId="0" applyFont="1" applyFill="1" applyAlignment="1">
      <alignment horizontal="left" vertical="center" wrapText="1" indent="1"/>
    </xf>
    <xf numFmtId="0" fontId="29" fillId="39" borderId="0" xfId="0" applyFont="1" applyFill="1" applyAlignment="1">
      <alignment horizontal="center" vertical="center" wrapText="1"/>
    </xf>
    <xf numFmtId="0" fontId="32" fillId="39" borderId="0" xfId="44" applyFont="1" applyFill="1" applyAlignment="1">
      <alignment horizontal="left" vertical="center" wrapText="1"/>
    </xf>
    <xf numFmtId="0" fontId="32" fillId="39" borderId="0" xfId="44" applyFont="1" applyFill="1" applyAlignment="1">
      <alignment horizontal="left" vertical="center"/>
    </xf>
    <xf numFmtId="164" fontId="33" fillId="0" borderId="0" xfId="42" applyNumberFormat="1" applyFont="1" applyFill="1" applyBorder="1" applyAlignment="1" applyProtection="1">
      <alignment horizontal="center" vertical="center"/>
    </xf>
    <xf numFmtId="1" fontId="23" fillId="39" borderId="0" xfId="0" applyNumberFormat="1" applyFont="1" applyFill="1" applyAlignment="1">
      <alignment horizontal="center" vertical="center"/>
    </xf>
    <xf numFmtId="0" fontId="23" fillId="39" borderId="0" xfId="46" applyFont="1" applyFill="1" applyAlignment="1">
      <alignment horizontal="center" vertical="center"/>
    </xf>
    <xf numFmtId="0" fontId="23" fillId="39" borderId="0" xfId="44" applyFont="1" applyFill="1" applyAlignment="1">
      <alignment horizontal="left" vertical="center" wrapText="1"/>
    </xf>
    <xf numFmtId="0" fontId="23" fillId="39" borderId="0" xfId="44" applyFont="1" applyFill="1" applyAlignment="1">
      <alignment horizontal="left" vertical="center"/>
    </xf>
    <xf numFmtId="164" fontId="23" fillId="39" borderId="0" xfId="42" applyNumberFormat="1" applyFont="1" applyFill="1" applyBorder="1" applyAlignment="1" applyProtection="1">
      <alignment horizontal="center" vertical="center"/>
    </xf>
    <xf numFmtId="164" fontId="30" fillId="39" borderId="0" xfId="42" applyNumberFormat="1" applyFont="1" applyFill="1" applyBorder="1" applyAlignment="1" applyProtection="1">
      <alignment horizontal="center" vertical="center"/>
      <protection locked="0"/>
    </xf>
    <xf numFmtId="0" fontId="23" fillId="39" borderId="0" xfId="0" applyFont="1" applyFill="1" applyAlignment="1">
      <alignment horizontal="left" vertical="center" wrapText="1"/>
    </xf>
    <xf numFmtId="0" fontId="23" fillId="39" borderId="0" xfId="0" applyFont="1" applyFill="1" applyAlignment="1">
      <alignment horizontal="left" vertical="center"/>
    </xf>
    <xf numFmtId="0" fontId="33" fillId="39" borderId="0" xfId="0" applyFont="1" applyFill="1" applyAlignment="1">
      <alignment horizontal="center" vertical="center"/>
    </xf>
    <xf numFmtId="1" fontId="61" fillId="39" borderId="0" xfId="0" applyNumberFormat="1" applyFont="1" applyFill="1" applyAlignment="1">
      <alignment horizontal="center" vertical="center"/>
    </xf>
    <xf numFmtId="0" fontId="62" fillId="0" borderId="0" xfId="0" applyFont="1" applyAlignment="1">
      <alignment horizontal="left" vertical="center"/>
    </xf>
    <xf numFmtId="0" fontId="61" fillId="39" borderId="0" xfId="0" applyFont="1" applyFill="1" applyAlignment="1">
      <alignment horizontal="left" vertical="center" wrapText="1" indent="1"/>
    </xf>
    <xf numFmtId="0" fontId="61" fillId="39" borderId="0" xfId="0" applyFont="1" applyFill="1" applyAlignment="1">
      <alignment horizontal="center" vertical="center" wrapText="1"/>
    </xf>
    <xf numFmtId="0" fontId="33" fillId="39" borderId="0" xfId="44" applyFont="1" applyFill="1" applyAlignment="1">
      <alignment horizontal="left" vertical="center" wrapText="1"/>
    </xf>
    <xf numFmtId="44" fontId="33" fillId="0" borderId="0" xfId="42" applyFont="1" applyAlignment="1">
      <alignment horizontal="left" vertical="center" wrapText="1"/>
    </xf>
    <xf numFmtId="164" fontId="33" fillId="39" borderId="0" xfId="42" applyNumberFormat="1" applyFont="1" applyFill="1" applyBorder="1" applyAlignment="1" applyProtection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44" fontId="59" fillId="0" borderId="0" xfId="42" applyFont="1" applyFill="1" applyAlignment="1">
      <alignment horizontal="left" vertical="center" wrapText="1"/>
    </xf>
    <xf numFmtId="0" fontId="49" fillId="39" borderId="0" xfId="0" applyFont="1" applyFill="1" applyAlignment="1">
      <alignment horizontal="left" vertical="center"/>
    </xf>
    <xf numFmtId="0" fontId="47" fillId="39" borderId="0" xfId="46" applyFont="1" applyFill="1" applyAlignment="1">
      <alignment horizontal="center" vertical="center"/>
    </xf>
    <xf numFmtId="44" fontId="59" fillId="39" borderId="0" xfId="42" applyFont="1" applyFill="1" applyAlignment="1">
      <alignment horizontal="left" vertical="center" wrapText="1"/>
    </xf>
    <xf numFmtId="0" fontId="39" fillId="39" borderId="0" xfId="44" applyFont="1" applyFill="1" applyAlignment="1">
      <alignment horizontal="left" vertical="center" wrapText="1"/>
    </xf>
    <xf numFmtId="164" fontId="30" fillId="0" borderId="0" xfId="42" applyNumberFormat="1" applyFont="1" applyFill="1" applyBorder="1" applyAlignment="1" applyProtection="1">
      <alignment horizontal="center"/>
      <protection locked="0"/>
    </xf>
    <xf numFmtId="164" fontId="33" fillId="33" borderId="0" xfId="42" applyNumberFormat="1" applyFont="1" applyFill="1" applyBorder="1" applyAlignment="1" applyProtection="1">
      <alignment horizontal="center" vertical="center"/>
    </xf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Euro" xfId="43" xr:uid="{925D4E4E-5862-4C80-8ABB-74BA61D493F2}"/>
    <cellStyle name="Insatisfaisant" xfId="7" builtinId="27" customBuiltin="1"/>
    <cellStyle name="Monétaire" xfId="42" builtinId="4"/>
    <cellStyle name="Neutre" xfId="8" builtinId="28" customBuiltin="1"/>
    <cellStyle name="Normal" xfId="0" builtinId="0"/>
    <cellStyle name="Normal 2" xfId="44" xr:uid="{3B335BC6-7267-4967-A0D6-F50352EFC50C}"/>
    <cellStyle name="Normal 3 2" xfId="45" xr:uid="{FE7E6126-D790-42F5-909F-FA742AF48356}"/>
    <cellStyle name="Normal_RECAP REVUE HLH TOUS SECTEURS" xfId="46" xr:uid="{B7608666-9569-4B14-8804-BE23E130DD7E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4">
    <dxf>
      <font>
        <b val="0"/>
        <i/>
        <color theme="2" tint="-9.9948118533890809E-2"/>
      </font>
      <fill>
        <patternFill patternType="none">
          <fgColor auto="1"/>
          <bgColor auto="1"/>
        </patternFill>
      </fill>
    </dxf>
    <dxf>
      <font>
        <strike val="0"/>
        <color rgb="FFC00000"/>
      </font>
    </dxf>
    <dxf>
      <font>
        <strike val="0"/>
        <color theme="9" tint="-0.24994659260841701"/>
      </font>
    </dxf>
    <dxf>
      <font>
        <color theme="7"/>
      </font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font>
        <b/>
        <i val="0"/>
        <strike val="0"/>
        <color theme="4"/>
      </font>
    </dxf>
    <dxf>
      <font>
        <b val="0"/>
        <i/>
        <color theme="2" tint="-9.9948118533890809E-2"/>
      </font>
      <fill>
        <patternFill patternType="none">
          <fgColor auto="1"/>
          <bgColor auto="1"/>
        </patternFill>
      </fill>
    </dxf>
    <dxf>
      <font>
        <b val="0"/>
        <i/>
        <color theme="2" tint="-9.9948118533890809E-2"/>
      </font>
      <fill>
        <patternFill patternType="none">
          <fgColor auto="1"/>
          <bgColor auto="1"/>
        </patternFill>
      </fill>
    </dxf>
    <dxf>
      <font>
        <b val="0"/>
        <i/>
        <color theme="2" tint="-9.9948118533890809E-2"/>
      </font>
      <fill>
        <patternFill patternType="none">
          <fgColor auto="1"/>
          <bgColor auto="1"/>
        </patternFill>
      </fill>
    </dxf>
    <dxf>
      <font>
        <b val="0"/>
        <i/>
        <color theme="2" tint="-9.9948118533890809E-2"/>
      </font>
      <fill>
        <patternFill patternType="none">
          <fgColor auto="1"/>
          <bgColor auto="1"/>
        </patternFill>
      </fill>
    </dxf>
    <dxf>
      <border>
        <bottom style="thin">
          <color theme="2" tint="-0.499984740745262"/>
        </bottom>
        <vertical/>
        <horizontal/>
      </border>
    </dxf>
    <dxf>
      <font>
        <b val="0"/>
        <i/>
        <color theme="2" tint="-9.9948118533890809E-2"/>
      </font>
      <fill>
        <patternFill patternType="none">
          <fgColor auto="1"/>
          <bgColor auto="1"/>
        </patternFill>
      </fill>
    </dxf>
    <dxf>
      <font>
        <strike val="0"/>
        <color rgb="FFC00000"/>
      </font>
    </dxf>
    <dxf>
      <font>
        <strike val="0"/>
        <color theme="9" tint="-0.24994659260841701"/>
      </font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font>
        <b val="0"/>
        <i/>
        <color theme="2" tint="-9.9948118533890809E-2"/>
      </font>
      <fill>
        <patternFill patternType="none">
          <fgColor auto="1"/>
          <bgColor auto="1"/>
        </patternFill>
      </fill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</dxfs>
  <tableStyles count="0" defaultTableStyle="TableStyleMedium2" defaultPivotStyle="PivotStyleLight16"/>
  <colors>
    <mruColors>
      <color rgb="FF000000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5" Type="http://schemas.microsoft.com/office/2022/11/relationships/FeaturePropertyBag" Target="featurePropertyBag/featurePropertyBag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microsoft.com/office/2017/10/relationships/person" Target="persons/perso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Hamed CHEDLY" id="{89CEE8B7-104C-4F50-B0EB-2C053A335737}" userId="S::hamed.chedly@plurial.fr::d8fae751-a3f6-4ccc-9d6d-92cb8952d71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5" dT="2024-12-18T15:10:12.78" personId="{89CEE8B7-104C-4F50-B0EB-2C053A335737}" id="{D1631A86-B89C-4BE0-8016-618A3B411F94}">
    <text>Infiltration d’eau  - VMC en panne</text>
  </threadedComment>
  <threadedComment ref="J25" dT="2024-12-18T15:11:57.34" personId="{89CEE8B7-104C-4F50-B0EB-2C053A335737}" id="{B4B92509-0989-4653-935B-426D02D64892}" parentId="{D1631A86-B89C-4BE0-8016-618A3B411F94}">
    <text xml:space="preserve"> devis GP.17342 à 41 000 €</text>
  </threadedComment>
  <threadedComment ref="J32" dT="2024-12-18T09:11:08.47" personId="{89CEE8B7-104C-4F50-B0EB-2C053A335737}" id="{7B1CB5A9-F4C8-4DE2-906F-2BE98B1229B0}">
    <text>ER.26605
ER.26242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19" dT="2024-12-18T15:10:12.78" personId="{89CEE8B7-104C-4F50-B0EB-2C053A335737}" id="{521D908C-5D85-4C55-9259-7A3389BDB370}">
    <text>Infiltration d’eau  - VMC en panne</text>
  </threadedComment>
  <threadedComment ref="J19" dT="2024-12-18T15:11:57.34" personId="{89CEE8B7-104C-4F50-B0EB-2C053A335737}" id="{C1FB1994-4CCF-4145-9C8A-3BA5635AC77F}" parentId="{521D908C-5D85-4C55-9259-7A3389BDB370}">
    <text xml:space="preserve"> devis GP.17342 à 41 000 €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849D851-D6A4-4E0E-8D31-574920CACA9E}">
  <we:reference id="wa200005502" version="1.0.0.11" store="fr-FR" storeType="OMEX"/>
  <we:alternateReferences>
    <we:reference id="wa200005502" version="1.0.0.11" store="wa200005502" storeType="OMEX"/>
  </we:alternateReferences>
  <we:properties>
    <we:property name="docId" value="&quot;I3laFzzNQQGJdL46U3i4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7ECCB21-F0AA-4747-AF7E-4C8235203D36}">
  <we:reference id="wa200005669" version="2.0.0.0" store="fr-FR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033F-88E3-46E8-83CB-843D72295CA7}">
  <sheetPr>
    <pageSetUpPr fitToPage="1"/>
  </sheetPr>
  <dimension ref="A1:S108"/>
  <sheetViews>
    <sheetView showGridLines="0" topLeftCell="C1" zoomScale="111" zoomScaleNormal="115" workbookViewId="0">
      <pane ySplit="2" topLeftCell="A41" activePane="bottomLeft" state="frozen"/>
      <selection pane="bottomLeft" activeCell="M11" sqref="M11"/>
    </sheetView>
  </sheetViews>
  <sheetFormatPr baseColWidth="10" defaultRowHeight="14.4" x14ac:dyDescent="0.3"/>
  <cols>
    <col min="3" max="3" width="40.6640625" customWidth="1"/>
    <col min="4" max="4" width="37.33203125" style="11" customWidth="1"/>
    <col min="5" max="5" width="22.33203125" style="1" customWidth="1"/>
    <col min="6" max="6" width="8.109375" customWidth="1"/>
    <col min="7" max="7" width="13.5546875" customWidth="1"/>
    <col min="8" max="8" width="11.44140625" hidden="1" customWidth="1"/>
    <col min="9" max="9" width="2.109375" customWidth="1"/>
    <col min="10" max="10" width="39.5546875" customWidth="1"/>
    <col min="11" max="11" width="10.6640625" style="66" customWidth="1"/>
    <col min="12" max="12" width="9.5546875" customWidth="1"/>
    <col min="13" max="17" width="11.44140625" customWidth="1"/>
  </cols>
  <sheetData>
    <row r="1" spans="1:19" x14ac:dyDescent="0.3">
      <c r="D1" s="6"/>
      <c r="E1" s="7"/>
      <c r="M1" s="60" t="str">
        <f>(M106-M102)/1000&amp;"k | "&amp;(M107-M103)/1000&amp;"k | "&amp;(M108-M104)/1000&amp;"k"</f>
        <v>0k | 0k | 0k</v>
      </c>
      <c r="N1" s="60" t="str">
        <f>(N106-N102)/1000&amp;"k | "&amp;(N107-N103)/1000&amp;"k | "&amp;(N108-N104)/1000&amp;"k"</f>
        <v>0k | 0k | -20k</v>
      </c>
      <c r="O1" s="60" t="str">
        <f>(O106-O102)/1000&amp;"k | "&amp;(O107-O103)/1000&amp;"k | "&amp;(O108-O104)/1000&amp;"k"</f>
        <v>0k | 0k | 0k</v>
      </c>
      <c r="P1" s="60" t="str">
        <f>(P106-P102)/1000&amp;"k | "&amp;(P107-P103)/1000&amp;"k | "&amp;(P108-P104)/1000&amp;"k"</f>
        <v>0k | 0k | 0k</v>
      </c>
      <c r="Q1" s="60" t="str">
        <f>(Q106-Q102)/1000&amp;"k | "&amp;(Q107-Q103)/1000&amp;"k | "&amp;(Q108-Q104)/1000&amp;"k"</f>
        <v>0k | 0k | 0k</v>
      </c>
    </row>
    <row r="2" spans="1:19" ht="45.75" customHeight="1" thickBot="1" x14ac:dyDescent="0.35">
      <c r="A2" s="3" t="s">
        <v>65</v>
      </c>
      <c r="B2" s="3" t="s">
        <v>66</v>
      </c>
      <c r="C2" s="3" t="s">
        <v>67</v>
      </c>
      <c r="D2" s="10" t="s">
        <v>0</v>
      </c>
      <c r="E2" s="3" t="s">
        <v>2</v>
      </c>
      <c r="F2" s="3" t="s">
        <v>3</v>
      </c>
      <c r="G2" s="3" t="s">
        <v>68</v>
      </c>
      <c r="H2" s="3" t="s">
        <v>69</v>
      </c>
      <c r="I2" s="3" t="s">
        <v>70</v>
      </c>
      <c r="J2" s="3" t="s">
        <v>71</v>
      </c>
      <c r="K2" s="67" t="s">
        <v>150</v>
      </c>
      <c r="L2" s="3">
        <v>2024</v>
      </c>
      <c r="M2" s="3">
        <v>2025</v>
      </c>
      <c r="N2" s="3">
        <v>2026</v>
      </c>
      <c r="O2" s="3">
        <v>2027</v>
      </c>
      <c r="P2" s="3">
        <v>2028</v>
      </c>
      <c r="Q2" s="3">
        <v>2029</v>
      </c>
      <c r="R2" s="3"/>
      <c r="S2" s="3"/>
    </row>
    <row r="3" spans="1:19" x14ac:dyDescent="0.3">
      <c r="A3" s="37">
        <v>1350</v>
      </c>
      <c r="B3" s="38" t="e" cm="1">
        <f t="array" ref="B3">_xlfn.SWITCH(IFERROR(VLOOKUP($A3,#REF!,2,FALSE),""),#REF!,#REF!,#REF!,#REF!,#REF!,#REF!,#REF!,#REF!,#REF!,#REF!,"")</f>
        <v>#REF!</v>
      </c>
      <c r="C3" s="49" t="s">
        <v>115</v>
      </c>
      <c r="D3" s="39" t="str">
        <f>IFERROR(VLOOKUP($A3,#REF!,3,FALSE),"")</f>
        <v/>
      </c>
      <c r="E3" s="61" t="str">
        <f>IFERROR(VLOOKUP($A3,#REF!,5,FALSE),"")</f>
        <v/>
      </c>
      <c r="F3" s="37" t="s">
        <v>13</v>
      </c>
      <c r="G3" s="37" t="s">
        <v>14</v>
      </c>
      <c r="H3" s="24" t="s">
        <v>15</v>
      </c>
      <c r="I3" s="37"/>
      <c r="J3" s="57" t="s">
        <v>138</v>
      </c>
      <c r="K3" s="57"/>
      <c r="L3" s="25"/>
      <c r="M3" s="25">
        <v>5000</v>
      </c>
      <c r="N3" s="25">
        <v>10000</v>
      </c>
      <c r="O3" s="25"/>
      <c r="P3" s="25" t="s">
        <v>80</v>
      </c>
      <c r="Q3" s="25"/>
      <c r="R3" s="13" t="b">
        <v>1</v>
      </c>
    </row>
    <row r="4" spans="1:19" x14ac:dyDescent="0.3">
      <c r="A4" s="40">
        <v>1350</v>
      </c>
      <c r="B4" s="41" t="e" cm="1">
        <f t="array" ref="B4">_xlfn.SWITCH(IFERROR(VLOOKUP($A4,#REF!,2,FALSE),""),#REF!,#REF!,#REF!,#REF!,#REF!,#REF!,#REF!,#REF!,#REF!,#REF!,"")</f>
        <v>#REF!</v>
      </c>
      <c r="C4" s="42" t="s">
        <v>115</v>
      </c>
      <c r="D4" s="43" t="str">
        <f>IFERROR(VLOOKUP($A4,#REF!,3,FALSE),"")</f>
        <v/>
      </c>
      <c r="E4" s="59" t="str">
        <f>IFERROR(VLOOKUP($A4,#REF!,5,FALSE),"")</f>
        <v/>
      </c>
      <c r="F4" s="27" t="s">
        <v>1</v>
      </c>
      <c r="G4" s="34" t="s">
        <v>54</v>
      </c>
      <c r="H4" s="28" t="s">
        <v>15</v>
      </c>
      <c r="I4" s="28"/>
      <c r="J4" s="64" t="s">
        <v>46</v>
      </c>
      <c r="K4" s="64"/>
      <c r="L4" s="30">
        <v>3000</v>
      </c>
      <c r="M4" s="30"/>
      <c r="N4" s="30">
        <v>8000</v>
      </c>
      <c r="O4" s="30"/>
      <c r="P4" s="30" t="s">
        <v>80</v>
      </c>
      <c r="Q4" s="30"/>
      <c r="R4" s="14" t="b">
        <v>1</v>
      </c>
    </row>
    <row r="5" spans="1:19" x14ac:dyDescent="0.3">
      <c r="A5" s="46">
        <v>1395</v>
      </c>
      <c r="B5" s="16" t="e" cm="1">
        <f t="array" ref="B5">_xlfn.SWITCH(IFERROR(VLOOKUP($A5,#REF!,2,FALSE),""),#REF!,#REF!,#REF!,#REF!,#REF!,#REF!,#REF!,#REF!,#REF!,#REF!,"")</f>
        <v>#REF!</v>
      </c>
      <c r="C5" s="17" t="s">
        <v>87</v>
      </c>
      <c r="D5" s="18" t="str">
        <f>IFERROR(VLOOKUP($A5,#REF!,3,FALSE),"")</f>
        <v/>
      </c>
      <c r="E5" s="58" t="str">
        <f>IFERROR(VLOOKUP($A5,#REF!,5,FALSE),"")</f>
        <v/>
      </c>
      <c r="F5" s="26" t="s">
        <v>13</v>
      </c>
      <c r="G5" s="26" t="s">
        <v>32</v>
      </c>
      <c r="H5" s="28" t="s">
        <v>15</v>
      </c>
      <c r="I5" s="28"/>
      <c r="J5" s="50" t="s">
        <v>30</v>
      </c>
      <c r="K5" s="50"/>
      <c r="L5" s="48"/>
      <c r="M5" s="48"/>
      <c r="N5" s="48">
        <v>5000</v>
      </c>
      <c r="O5" s="48"/>
      <c r="P5" s="48"/>
      <c r="Q5" s="48"/>
      <c r="R5" s="14" t="b">
        <v>1</v>
      </c>
    </row>
    <row r="6" spans="1:19" x14ac:dyDescent="0.3">
      <c r="A6" s="40">
        <v>1395</v>
      </c>
      <c r="B6" s="41" t="e" cm="1">
        <f t="array" ref="B6">_xlfn.SWITCH(IFERROR(VLOOKUP($A6,#REF!,2,FALSE),""),#REF!,#REF!,#REF!,#REF!,#REF!,#REF!,#REF!,#REF!,#REF!,#REF!,"")</f>
        <v>#REF!</v>
      </c>
      <c r="C6" s="42" t="s">
        <v>20</v>
      </c>
      <c r="D6" s="43" t="str">
        <f>IFERROR(VLOOKUP($A6,#REF!,3,FALSE),"")</f>
        <v/>
      </c>
      <c r="E6" s="59" t="str">
        <f>IFERROR(VLOOKUP($A6,#REF!,5,FALSE),"")</f>
        <v/>
      </c>
      <c r="F6" s="26" t="s">
        <v>18</v>
      </c>
      <c r="G6" s="27" t="s">
        <v>47</v>
      </c>
      <c r="H6" s="28" t="s">
        <v>15</v>
      </c>
      <c r="I6" s="28"/>
      <c r="J6" s="50" t="s">
        <v>48</v>
      </c>
      <c r="K6" s="50"/>
      <c r="L6" s="30"/>
      <c r="M6" s="51"/>
      <c r="N6" s="51"/>
      <c r="O6" s="51"/>
      <c r="P6" s="51">
        <v>12000</v>
      </c>
      <c r="Q6" s="51"/>
      <c r="R6" s="14" t="b">
        <v>1</v>
      </c>
    </row>
    <row r="7" spans="1:19" x14ac:dyDescent="0.3">
      <c r="A7" s="26">
        <v>1395</v>
      </c>
      <c r="B7" s="41" t="e" cm="1">
        <f t="array" ref="B7">_xlfn.SWITCH(IFERROR(VLOOKUP($A7,#REF!,2,FALSE),""),#REF!,#REF!,#REF!,#REF!,#REF!,#REF!,#REF!,#REF!,#REF!,#REF!,"")</f>
        <v>#REF!</v>
      </c>
      <c r="C7" s="42" t="s">
        <v>20</v>
      </c>
      <c r="D7" s="43" t="str">
        <f>IFERROR(VLOOKUP($A7,#REF!,3,FALSE),"")</f>
        <v/>
      </c>
      <c r="E7" s="59" t="str">
        <f>IFERROR(VLOOKUP($A7,#REF!,5,FALSE),"")</f>
        <v/>
      </c>
      <c r="F7" s="26" t="s">
        <v>18</v>
      </c>
      <c r="G7" s="26" t="s">
        <v>19</v>
      </c>
      <c r="H7" s="28" t="s">
        <v>15</v>
      </c>
      <c r="I7" s="26"/>
      <c r="J7" s="52" t="s">
        <v>49</v>
      </c>
      <c r="K7" s="52"/>
      <c r="L7" s="30"/>
      <c r="M7" s="51"/>
      <c r="N7" s="51">
        <v>4000</v>
      </c>
      <c r="O7" s="51"/>
      <c r="P7" s="51"/>
      <c r="Q7" s="51"/>
      <c r="R7" s="14" t="b">
        <v>1</v>
      </c>
    </row>
    <row r="8" spans="1:19" x14ac:dyDescent="0.3">
      <c r="A8" s="40">
        <v>1395</v>
      </c>
      <c r="B8" s="41" t="e" cm="1">
        <f t="array" ref="B8">_xlfn.SWITCH(IFERROR(VLOOKUP($A8,#REF!,2,FALSE),""),#REF!,#REF!,#REF!,#REF!,#REF!,#REF!,#REF!,#REF!,#REF!,#REF!,"")</f>
        <v>#REF!</v>
      </c>
      <c r="C8" s="42" t="s">
        <v>20</v>
      </c>
      <c r="D8" s="43" t="str">
        <f>IFERROR(VLOOKUP($A8,#REF!,3,FALSE),"")</f>
        <v/>
      </c>
      <c r="E8" s="59" t="str">
        <f>IFERROR(VLOOKUP($A8,#REF!,5,FALSE),"")</f>
        <v/>
      </c>
      <c r="F8" s="27" t="s">
        <v>13</v>
      </c>
      <c r="G8" s="27" t="s">
        <v>14</v>
      </c>
      <c r="H8" s="28" t="s">
        <v>15</v>
      </c>
      <c r="I8" s="28"/>
      <c r="J8" s="79" t="s">
        <v>21</v>
      </c>
      <c r="K8" s="50"/>
      <c r="L8" s="30"/>
      <c r="M8" s="51"/>
      <c r="N8" s="51">
        <v>10000</v>
      </c>
      <c r="O8" s="51"/>
      <c r="P8" s="51"/>
      <c r="Q8" s="51">
        <v>10000</v>
      </c>
      <c r="R8" s="14" t="b">
        <v>1</v>
      </c>
    </row>
    <row r="9" spans="1:19" x14ac:dyDescent="0.3">
      <c r="A9" s="46">
        <v>1395</v>
      </c>
      <c r="B9" s="16" t="e" cm="1">
        <f t="array" ref="B9">_xlfn.SWITCH(IFERROR(VLOOKUP($A9,#REF!,2,FALSE),""),#REF!,#REF!,#REF!,#REF!,#REF!,#REF!,#REF!,#REF!,#REF!,#REF!,"")</f>
        <v>#REF!</v>
      </c>
      <c r="C9" s="17" t="s">
        <v>87</v>
      </c>
      <c r="D9" s="18" t="str">
        <f>IFERROR(VLOOKUP($A9,#REF!,3,FALSE),"")</f>
        <v/>
      </c>
      <c r="E9" s="58" t="str">
        <f>IFERROR(VLOOKUP($A9,#REF!,5,FALSE),"")</f>
        <v/>
      </c>
      <c r="F9" s="26" t="s">
        <v>1</v>
      </c>
      <c r="G9" s="26" t="s">
        <v>54</v>
      </c>
      <c r="H9" s="28" t="s">
        <v>15</v>
      </c>
      <c r="I9" s="28"/>
      <c r="J9" s="64" t="s">
        <v>89</v>
      </c>
      <c r="K9" s="64"/>
      <c r="L9" s="48"/>
      <c r="M9" s="48"/>
      <c r="N9" s="48"/>
      <c r="O9" s="48">
        <v>15000</v>
      </c>
      <c r="P9" s="48"/>
      <c r="Q9" s="48"/>
      <c r="R9" s="14" t="b">
        <v>1</v>
      </c>
    </row>
    <row r="10" spans="1:19" x14ac:dyDescent="0.3">
      <c r="A10" s="40">
        <v>1396</v>
      </c>
      <c r="B10" s="41" t="e" cm="1">
        <f t="array" ref="B10">_xlfn.SWITCH(IFERROR(VLOOKUP($A10,#REF!,2,FALSE),""),#REF!,#REF!,#REF!,#REF!,#REF!,#REF!,#REF!,#REF!,#REF!,#REF!,"")</f>
        <v>#REF!</v>
      </c>
      <c r="C10" s="42" t="s">
        <v>116</v>
      </c>
      <c r="D10" s="43" t="str">
        <f>IFERROR(VLOOKUP($A10,#REF!,3,FALSE),"")</f>
        <v/>
      </c>
      <c r="E10" s="59" t="str">
        <f>IFERROR(VLOOKUP($A10,#REF!,5,FALSE),"")</f>
        <v/>
      </c>
      <c r="F10" s="27" t="s">
        <v>18</v>
      </c>
      <c r="G10" s="27" t="s">
        <v>19</v>
      </c>
      <c r="H10" s="28" t="s">
        <v>15</v>
      </c>
      <c r="I10" s="28"/>
      <c r="J10" s="50" t="s">
        <v>33</v>
      </c>
      <c r="K10" s="50"/>
      <c r="L10" s="30"/>
      <c r="M10" s="51"/>
      <c r="N10" s="51"/>
      <c r="O10" s="51">
        <v>15000</v>
      </c>
      <c r="P10" s="51"/>
      <c r="Q10" s="51"/>
      <c r="R10" s="14" t="b">
        <v>1</v>
      </c>
    </row>
    <row r="11" spans="1:19" x14ac:dyDescent="0.3">
      <c r="A11" s="26">
        <v>1396</v>
      </c>
      <c r="B11" s="41" t="e" cm="1">
        <f t="array" ref="B11">_xlfn.SWITCH(IFERROR(VLOOKUP($A11,#REF!,2,FALSE),""),#REF!,#REF!,#REF!,#REF!,#REF!,#REF!,#REF!,#REF!,#REF!,#REF!,"")</f>
        <v>#REF!</v>
      </c>
      <c r="C11" s="42" t="s">
        <v>116</v>
      </c>
      <c r="D11" s="43" t="str">
        <f>IFERROR(VLOOKUP($A11,#REF!,3,FALSE),"")</f>
        <v/>
      </c>
      <c r="E11" s="59" t="str">
        <f>IFERROR(VLOOKUP($A11,#REF!,5,FALSE),"")</f>
        <v/>
      </c>
      <c r="F11" s="26" t="s">
        <v>18</v>
      </c>
      <c r="G11" s="26" t="s">
        <v>58</v>
      </c>
      <c r="H11" s="28" t="s">
        <v>15</v>
      </c>
      <c r="I11" s="26"/>
      <c r="J11" s="52" t="s">
        <v>62</v>
      </c>
      <c r="K11" s="52"/>
      <c r="L11" s="30"/>
      <c r="M11" s="51"/>
      <c r="N11" s="51">
        <v>13000</v>
      </c>
      <c r="O11" s="51"/>
      <c r="P11" s="51"/>
      <c r="Q11" s="51"/>
      <c r="R11" s="14" t="b">
        <v>1</v>
      </c>
    </row>
    <row r="12" spans="1:19" x14ac:dyDescent="0.3">
      <c r="A12" s="81">
        <v>1396</v>
      </c>
      <c r="B12" s="82" t="e" cm="1">
        <f t="array" ref="B12">_xlfn.SWITCH(IFERROR(VLOOKUP($A12,#REF!,2,FALSE),""),#REF!,#REF!,#REF!,#REF!,#REF!,#REF!,#REF!,#REF!,#REF!,#REF!,"")</f>
        <v>#REF!</v>
      </c>
      <c r="C12" s="83" t="s">
        <v>116</v>
      </c>
      <c r="D12" s="43" t="str">
        <f>IFERROR(VLOOKUP($A12,#REF!,3,FALSE),"")</f>
        <v/>
      </c>
      <c r="E12" s="59" t="str">
        <f>IFERROR(VLOOKUP($A12,#REF!,5,FALSE),"")</f>
        <v/>
      </c>
      <c r="F12" s="84" t="s">
        <v>1</v>
      </c>
      <c r="G12" s="84" t="s">
        <v>23</v>
      </c>
      <c r="H12" s="85" t="s">
        <v>15</v>
      </c>
      <c r="I12" s="85"/>
      <c r="J12" s="86" t="s">
        <v>161</v>
      </c>
      <c r="K12" s="86"/>
      <c r="L12" s="87">
        <v>8000</v>
      </c>
      <c r="M12" s="87">
        <v>2000</v>
      </c>
      <c r="N12" s="87"/>
      <c r="O12" s="87"/>
      <c r="P12" s="87"/>
      <c r="Q12" s="87"/>
      <c r="R12" s="88" t="b">
        <v>1</v>
      </c>
    </row>
    <row r="13" spans="1:19" x14ac:dyDescent="0.3">
      <c r="A13" s="40">
        <v>1396</v>
      </c>
      <c r="B13" s="41" t="e" cm="1">
        <f t="array" ref="B13">_xlfn.SWITCH(IFERROR(VLOOKUP($A13,#REF!,2,FALSE),""),#REF!,#REF!,#REF!,#REF!,#REF!,#REF!,#REF!,#REF!,#REF!,#REF!,"")</f>
        <v>#REF!</v>
      </c>
      <c r="C13" s="42" t="s">
        <v>116</v>
      </c>
      <c r="D13" s="43" t="str">
        <f>IFERROR(VLOOKUP($A13,#REF!,3,FALSE),"")</f>
        <v/>
      </c>
      <c r="E13" s="59" t="str">
        <f>IFERROR(VLOOKUP($A13,#REF!,5,FALSE),"")</f>
        <v/>
      </c>
      <c r="F13" s="27" t="s">
        <v>1</v>
      </c>
      <c r="G13" s="27" t="s">
        <v>17</v>
      </c>
      <c r="H13" s="28" t="s">
        <v>15</v>
      </c>
      <c r="I13" s="28"/>
      <c r="J13" s="29" t="s">
        <v>50</v>
      </c>
      <c r="K13" s="29"/>
      <c r="L13" s="30"/>
      <c r="M13" s="30"/>
      <c r="N13" s="30"/>
      <c r="O13" s="30">
        <v>5000</v>
      </c>
      <c r="P13" s="30"/>
      <c r="Q13" s="30"/>
      <c r="R13" s="14" t="b">
        <v>1</v>
      </c>
    </row>
    <row r="14" spans="1:19" x14ac:dyDescent="0.3">
      <c r="A14" s="26">
        <v>1396</v>
      </c>
      <c r="B14" s="41" t="e" cm="1">
        <f t="array" ref="B14">_xlfn.SWITCH(IFERROR(VLOOKUP($A14,#REF!,2,FALSE),""),#REF!,#REF!,#REF!,#REF!,#REF!,#REF!,#REF!,#REF!,#REF!,#REF!,"")</f>
        <v>#REF!</v>
      </c>
      <c r="C14" s="44" t="s">
        <v>116</v>
      </c>
      <c r="D14" s="43" t="str">
        <f>IFERROR(VLOOKUP($A14,#REF!,3,FALSE),"")</f>
        <v/>
      </c>
      <c r="E14" s="59" t="str">
        <f>IFERROR(VLOOKUP($A14,#REF!,5,FALSE),"")</f>
        <v/>
      </c>
      <c r="F14" s="26" t="s">
        <v>1</v>
      </c>
      <c r="G14" s="27" t="s">
        <v>44</v>
      </c>
      <c r="H14" s="28" t="s">
        <v>15</v>
      </c>
      <c r="I14" s="26"/>
      <c r="J14" s="29" t="s">
        <v>51</v>
      </c>
      <c r="K14" s="29"/>
      <c r="L14" s="30"/>
      <c r="M14" s="30"/>
      <c r="N14" s="30">
        <v>30000</v>
      </c>
      <c r="O14" s="30"/>
      <c r="P14" s="30"/>
      <c r="Q14" s="30"/>
      <c r="R14" s="14" t="b">
        <v>1</v>
      </c>
    </row>
    <row r="15" spans="1:19" x14ac:dyDescent="0.3">
      <c r="A15" s="34">
        <v>1396</v>
      </c>
      <c r="B15" s="41" t="e" cm="1">
        <f t="array" ref="B15">_xlfn.SWITCH(IFERROR(VLOOKUP($A15,#REF!,2,FALSE),""),#REF!,#REF!,#REF!,#REF!,#REF!,#REF!,#REF!,#REF!,#REF!,#REF!,"")</f>
        <v>#REF!</v>
      </c>
      <c r="C15" s="44" t="s">
        <v>116</v>
      </c>
      <c r="D15" s="43" t="str">
        <f>IFERROR(VLOOKUP($A15,#REF!,3,FALSE),"")</f>
        <v/>
      </c>
      <c r="E15" s="59" t="str">
        <f>IFERROR(VLOOKUP($A15,#REF!,5,FALSE),"")</f>
        <v/>
      </c>
      <c r="F15" s="27" t="s">
        <v>1</v>
      </c>
      <c r="G15" s="27" t="s">
        <v>23</v>
      </c>
      <c r="H15" s="28" t="s">
        <v>15</v>
      </c>
      <c r="I15" s="26"/>
      <c r="J15" s="29" t="s">
        <v>86</v>
      </c>
      <c r="K15" s="29"/>
      <c r="L15" s="30"/>
      <c r="M15" s="30"/>
      <c r="N15" s="30"/>
      <c r="O15" s="30"/>
      <c r="P15" s="30">
        <v>5000</v>
      </c>
      <c r="Q15" s="30"/>
      <c r="R15" s="14" t="b">
        <v>1</v>
      </c>
    </row>
    <row r="16" spans="1:19" x14ac:dyDescent="0.3">
      <c r="A16" s="40">
        <v>1397</v>
      </c>
      <c r="B16" s="41" t="e" cm="1">
        <f t="array" ref="B16">_xlfn.SWITCH(IFERROR(VLOOKUP($A16,#REF!,2,FALSE),""),#REF!,#REF!,#REF!,#REF!,#REF!,#REF!,#REF!,#REF!,#REF!,#REF!,"")</f>
        <v>#REF!</v>
      </c>
      <c r="C16" s="42" t="s">
        <v>117</v>
      </c>
      <c r="D16" s="43" t="str">
        <f>IFERROR(VLOOKUP($A16,#REF!,3,FALSE),"")</f>
        <v/>
      </c>
      <c r="E16" s="59" t="str">
        <f>IFERROR(VLOOKUP($A16,#REF!,5,FALSE),"")</f>
        <v/>
      </c>
      <c r="F16" s="27" t="s">
        <v>13</v>
      </c>
      <c r="G16" s="35" t="s">
        <v>32</v>
      </c>
      <c r="H16" s="28" t="s">
        <v>15</v>
      </c>
      <c r="I16" s="35"/>
      <c r="J16" s="29" t="s">
        <v>52</v>
      </c>
      <c r="K16" s="29"/>
      <c r="L16" s="30"/>
      <c r="M16" s="30"/>
      <c r="N16" s="30"/>
      <c r="O16" s="30">
        <v>12000</v>
      </c>
      <c r="P16" s="30"/>
      <c r="Q16" s="30"/>
      <c r="R16" s="14" t="b">
        <v>1</v>
      </c>
    </row>
    <row r="17" spans="1:18" x14ac:dyDescent="0.3">
      <c r="A17" s="40">
        <v>1397</v>
      </c>
      <c r="B17" s="41" t="e" cm="1">
        <f t="array" ref="B17">_xlfn.SWITCH(IFERROR(VLOOKUP($A17,#REF!,2,FALSE),""),#REF!,#REF!,#REF!,#REF!,#REF!,#REF!,#REF!,#REF!,#REF!,#REF!,"")</f>
        <v>#REF!</v>
      </c>
      <c r="C17" s="42" t="s">
        <v>118</v>
      </c>
      <c r="D17" s="43" t="str">
        <f>IFERROR(VLOOKUP($A17,#REF!,3,FALSE),"")</f>
        <v/>
      </c>
      <c r="E17" s="59" t="str">
        <f>IFERROR(VLOOKUP($A17,#REF!,5,FALSE),"")</f>
        <v/>
      </c>
      <c r="F17" s="27" t="s">
        <v>1</v>
      </c>
      <c r="G17" s="27" t="s">
        <v>54</v>
      </c>
      <c r="H17" s="28" t="s">
        <v>15</v>
      </c>
      <c r="I17" s="28"/>
      <c r="J17" s="29" t="s">
        <v>137</v>
      </c>
      <c r="K17" s="29"/>
      <c r="L17" s="30"/>
      <c r="M17" s="30"/>
      <c r="N17" s="30">
        <v>10000</v>
      </c>
      <c r="O17" s="30"/>
      <c r="P17" s="30"/>
      <c r="Q17" s="30">
        <v>10000</v>
      </c>
      <c r="R17" s="14" t="b">
        <v>1</v>
      </c>
    </row>
    <row r="18" spans="1:18" x14ac:dyDescent="0.3">
      <c r="A18" s="40">
        <v>1398</v>
      </c>
      <c r="B18" s="41" t="e" cm="1">
        <f t="array" ref="B18">_xlfn.SWITCH(IFERROR(VLOOKUP($A18,#REF!,2,FALSE),""),#REF!,#REF!,#REF!,#REF!,#REF!,#REF!,#REF!,#REF!,#REF!,#REF!,"")</f>
        <v>#REF!</v>
      </c>
      <c r="C18" s="42" t="s">
        <v>119</v>
      </c>
      <c r="D18" s="43" t="str">
        <f>IFERROR(VLOOKUP($A18,#REF!,3,FALSE),"")</f>
        <v/>
      </c>
      <c r="E18" s="59" t="str">
        <f>IFERROR(VLOOKUP($A18,#REF!,5,FALSE),"")</f>
        <v/>
      </c>
      <c r="F18" s="27" t="s">
        <v>1</v>
      </c>
      <c r="G18" s="27" t="s">
        <v>40</v>
      </c>
      <c r="H18" s="28" t="s">
        <v>15</v>
      </c>
      <c r="I18" s="28"/>
      <c r="J18" s="64" t="s">
        <v>41</v>
      </c>
      <c r="K18" s="64"/>
      <c r="L18" s="30"/>
      <c r="M18" s="30"/>
      <c r="N18" s="30">
        <v>10000</v>
      </c>
      <c r="O18" s="30"/>
      <c r="P18" s="30"/>
      <c r="Q18" s="30"/>
      <c r="R18" s="14" t="b">
        <v>1</v>
      </c>
    </row>
    <row r="19" spans="1:18" x14ac:dyDescent="0.3">
      <c r="A19" s="40">
        <v>1398</v>
      </c>
      <c r="B19" s="41" t="e" cm="1">
        <f t="array" ref="B19">_xlfn.SWITCH(IFERROR(VLOOKUP($A19,#REF!,2,FALSE),""),#REF!,#REF!,#REF!,#REF!,#REF!,#REF!,#REF!,#REF!,#REF!,#REF!,"")</f>
        <v>#REF!</v>
      </c>
      <c r="C19" s="42" t="s">
        <v>119</v>
      </c>
      <c r="D19" s="43" t="str">
        <f>IFERROR(VLOOKUP($A19,#REF!,3,FALSE),"")</f>
        <v/>
      </c>
      <c r="E19" s="59" t="str">
        <f>IFERROR(VLOOKUP($A19,#REF!,5,FALSE),"")</f>
        <v/>
      </c>
      <c r="F19" s="27" t="s">
        <v>1</v>
      </c>
      <c r="G19" s="26" t="s">
        <v>128</v>
      </c>
      <c r="H19" s="28" t="s">
        <v>15</v>
      </c>
      <c r="I19" s="28"/>
      <c r="J19" s="29" t="s">
        <v>37</v>
      </c>
      <c r="K19" s="29"/>
      <c r="L19" s="30"/>
      <c r="M19" s="30"/>
      <c r="N19" s="30"/>
      <c r="O19" s="30"/>
      <c r="P19" s="30">
        <v>60000</v>
      </c>
      <c r="Q19" s="30"/>
      <c r="R19" s="14" t="b">
        <v>1</v>
      </c>
    </row>
    <row r="20" spans="1:18" x14ac:dyDescent="0.3">
      <c r="A20" s="26">
        <v>1398</v>
      </c>
      <c r="B20" s="41" t="e" cm="1">
        <f t="array" ref="B20">_xlfn.SWITCH(IFERROR(VLOOKUP($A20,#REF!,2,FALSE),""),#REF!,#REF!,#REF!,#REF!,#REF!,#REF!,#REF!,#REF!,#REF!,#REF!,"")</f>
        <v>#REF!</v>
      </c>
      <c r="C20" s="45" t="s">
        <v>120</v>
      </c>
      <c r="D20" s="43" t="str">
        <f>IFERROR(VLOOKUP($A20,#REF!,3,FALSE),"")</f>
        <v/>
      </c>
      <c r="E20" s="59" t="str">
        <f>IFERROR(VLOOKUP($A20,#REF!,5,FALSE),"")</f>
        <v/>
      </c>
      <c r="F20" s="27" t="s">
        <v>13</v>
      </c>
      <c r="G20" s="27" t="s">
        <v>14</v>
      </c>
      <c r="H20" s="28" t="s">
        <v>15</v>
      </c>
      <c r="I20" s="33"/>
      <c r="J20" s="29" t="s">
        <v>16</v>
      </c>
      <c r="K20" s="29"/>
      <c r="L20" s="30"/>
      <c r="M20" s="30"/>
      <c r="N20" s="30"/>
      <c r="O20" s="30">
        <v>5000</v>
      </c>
      <c r="P20" s="30"/>
      <c r="Q20" s="30"/>
      <c r="R20" s="14" t="b">
        <v>1</v>
      </c>
    </row>
    <row r="21" spans="1:18" x14ac:dyDescent="0.3">
      <c r="A21" s="40">
        <v>1398</v>
      </c>
      <c r="B21" s="41" t="e" cm="1">
        <f t="array" ref="B21">_xlfn.SWITCH(IFERROR(VLOOKUP($A21,#REF!,2,FALSE),""),#REF!,#REF!,#REF!,#REF!,#REF!,#REF!,#REF!,#REF!,#REF!,#REF!,"")</f>
        <v>#REF!</v>
      </c>
      <c r="C21" s="42" t="s">
        <v>119</v>
      </c>
      <c r="D21" s="43" t="str">
        <f>IFERROR(VLOOKUP($A21,#REF!,3,FALSE),"")</f>
        <v/>
      </c>
      <c r="E21" s="59" t="str">
        <f>IFERROR(VLOOKUP($A21,#REF!,5,FALSE),"")</f>
        <v/>
      </c>
      <c r="F21" s="27" t="s">
        <v>18</v>
      </c>
      <c r="G21" s="34" t="s">
        <v>19</v>
      </c>
      <c r="H21" s="28" t="s">
        <v>15</v>
      </c>
      <c r="I21" s="35"/>
      <c r="J21" s="50" t="s">
        <v>53</v>
      </c>
      <c r="K21" s="50"/>
      <c r="L21" s="30">
        <v>8000</v>
      </c>
      <c r="M21" s="51"/>
      <c r="N21" s="51"/>
      <c r="O21" s="51"/>
      <c r="P21" s="51"/>
      <c r="Q21" s="51">
        <v>10000</v>
      </c>
      <c r="R21" s="14" t="b">
        <v>1</v>
      </c>
    </row>
    <row r="22" spans="1:18" x14ac:dyDescent="0.3">
      <c r="A22" s="40">
        <v>1398</v>
      </c>
      <c r="B22" s="41" t="e" cm="1">
        <f t="array" ref="B22">_xlfn.SWITCH(IFERROR(VLOOKUP($A22,#REF!,2,FALSE),""),#REF!,#REF!,#REF!,#REF!,#REF!,#REF!,#REF!,#REF!,#REF!,#REF!,"")</f>
        <v>#REF!</v>
      </c>
      <c r="C22" s="42" t="s">
        <v>119</v>
      </c>
      <c r="D22" s="43" t="str">
        <f>IFERROR(VLOOKUP($A22,#REF!,3,FALSE),"")</f>
        <v/>
      </c>
      <c r="E22" s="59" t="str">
        <f>IFERROR(VLOOKUP($A22,#REF!,5,FALSE),"")</f>
        <v/>
      </c>
      <c r="F22" s="27" t="s">
        <v>18</v>
      </c>
      <c r="G22" s="34" t="s">
        <v>19</v>
      </c>
      <c r="H22" s="28" t="s">
        <v>15</v>
      </c>
      <c r="I22" s="35"/>
      <c r="J22" s="50" t="s">
        <v>45</v>
      </c>
      <c r="K22" s="50"/>
      <c r="L22" s="30"/>
      <c r="M22" s="51"/>
      <c r="N22" s="51"/>
      <c r="O22" s="51"/>
      <c r="P22" s="51"/>
      <c r="Q22" s="51">
        <v>20000</v>
      </c>
      <c r="R22" s="14" t="b">
        <v>1</v>
      </c>
    </row>
    <row r="23" spans="1:18" x14ac:dyDescent="0.3">
      <c r="A23" s="26">
        <v>1399</v>
      </c>
      <c r="B23" s="41" t="e" cm="1">
        <f t="array" ref="B23">_xlfn.SWITCH(IFERROR(VLOOKUP($A23,#REF!,2,FALSE),""),#REF!,#REF!,#REF!,#REF!,#REF!,#REF!,#REF!,#REF!,#REF!,#REF!,"")</f>
        <v>#REF!</v>
      </c>
      <c r="C23" s="42" t="s">
        <v>43</v>
      </c>
      <c r="D23" s="43" t="str">
        <f>IFERROR(VLOOKUP($A23,#REF!,3,FALSE),"")</f>
        <v/>
      </c>
      <c r="E23" s="59" t="str">
        <f>IFERROR(VLOOKUP($A23,#REF!,5,FALSE),"")</f>
        <v/>
      </c>
      <c r="F23" s="26" t="s">
        <v>18</v>
      </c>
      <c r="G23" s="26" t="s">
        <v>58</v>
      </c>
      <c r="H23" s="28" t="s">
        <v>15</v>
      </c>
      <c r="I23" s="26"/>
      <c r="J23" s="52" t="s">
        <v>63</v>
      </c>
      <c r="K23" s="70"/>
      <c r="L23" s="30"/>
      <c r="M23" s="51"/>
      <c r="N23" s="51">
        <v>10000</v>
      </c>
      <c r="O23" s="51"/>
      <c r="P23" s="51"/>
      <c r="Q23" s="51"/>
      <c r="R23" s="14" t="b">
        <v>1</v>
      </c>
    </row>
    <row r="24" spans="1:18" x14ac:dyDescent="0.3">
      <c r="A24" s="40">
        <v>1399</v>
      </c>
      <c r="B24" s="41" t="e" cm="1">
        <f t="array" ref="B24">_xlfn.SWITCH(IFERROR(VLOOKUP($A24,#REF!,2,FALSE),""),#REF!,#REF!,#REF!,#REF!,#REF!,#REF!,#REF!,#REF!,#REF!,#REF!,"")</f>
        <v>#REF!</v>
      </c>
      <c r="C24" s="42" t="s">
        <v>97</v>
      </c>
      <c r="D24" s="43" t="str">
        <f>IFERROR(VLOOKUP($A24,#REF!,3,FALSE),"")</f>
        <v/>
      </c>
      <c r="E24" s="59" t="str">
        <f>IFERROR(VLOOKUP($A24,#REF!,5,FALSE),"")</f>
        <v/>
      </c>
      <c r="F24" s="26" t="s">
        <v>13</v>
      </c>
      <c r="G24" s="27" t="s">
        <v>32</v>
      </c>
      <c r="H24" s="28" t="s">
        <v>15</v>
      </c>
      <c r="I24" s="28"/>
      <c r="J24" s="62" t="s">
        <v>33</v>
      </c>
      <c r="K24" s="71"/>
      <c r="L24" s="30"/>
      <c r="M24" s="30"/>
      <c r="N24" s="30">
        <v>10000</v>
      </c>
      <c r="O24" s="30"/>
      <c r="P24" s="30"/>
      <c r="Q24" s="30"/>
      <c r="R24" s="14" t="b">
        <v>1</v>
      </c>
    </row>
    <row r="25" spans="1:18" x14ac:dyDescent="0.3">
      <c r="A25" s="40">
        <v>1399</v>
      </c>
      <c r="B25" s="41" t="e" cm="1">
        <f t="array" ref="B25">_xlfn.SWITCH(IFERROR(VLOOKUP($A25,#REF!,2,FALSE),""),#REF!,#REF!,#REF!,#REF!,#REF!,#REF!,#REF!,#REF!,#REF!,#REF!,"")</f>
        <v>#REF!</v>
      </c>
      <c r="C25" s="42" t="s">
        <v>164</v>
      </c>
      <c r="D25" s="43" t="str">
        <f>IFERROR(VLOOKUP($A25,#REF!,3,FALSE),"")</f>
        <v/>
      </c>
      <c r="E25" s="59" t="str">
        <f>IFERROR(VLOOKUP($A25,#REF!,5,FALSE),"")</f>
        <v/>
      </c>
      <c r="F25" s="26" t="s">
        <v>1</v>
      </c>
      <c r="G25" s="27" t="s">
        <v>17</v>
      </c>
      <c r="H25" s="28"/>
      <c r="I25" s="28"/>
      <c r="J25" s="62" t="s">
        <v>163</v>
      </c>
      <c r="K25" s="71" t="s">
        <v>158</v>
      </c>
      <c r="L25" s="30"/>
      <c r="M25" s="30">
        <v>23000</v>
      </c>
      <c r="N25" s="30"/>
      <c r="O25" s="30"/>
      <c r="P25" s="30"/>
      <c r="Q25" s="30"/>
      <c r="R25" s="14" t="b">
        <v>1</v>
      </c>
    </row>
    <row r="26" spans="1:18" x14ac:dyDescent="0.3">
      <c r="A26" s="26">
        <v>1399</v>
      </c>
      <c r="B26" s="41" t="e" cm="1">
        <f t="array" ref="B26">_xlfn.SWITCH(IFERROR(VLOOKUP($A26,#REF!,2,FALSE),""),#REF!,#REF!,#REF!,#REF!,#REF!,#REF!,#REF!,#REF!,#REF!,#REF!,"")</f>
        <v>#REF!</v>
      </c>
      <c r="C26" s="42" t="s">
        <v>43</v>
      </c>
      <c r="D26" s="43" t="str">
        <f>IFERROR(VLOOKUP($A26,#REF!,3,FALSE),"")</f>
        <v/>
      </c>
      <c r="E26" s="59" t="str">
        <f>IFERROR(VLOOKUP($A26,#REF!,5,FALSE),"")</f>
        <v/>
      </c>
      <c r="F26" s="26" t="s">
        <v>1</v>
      </c>
      <c r="G26" s="26" t="s">
        <v>54</v>
      </c>
      <c r="H26" s="28" t="s">
        <v>15</v>
      </c>
      <c r="I26" s="26"/>
      <c r="J26" s="32" t="s">
        <v>149</v>
      </c>
      <c r="K26" s="72"/>
      <c r="L26" s="30">
        <v>8000</v>
      </c>
      <c r="M26" s="30"/>
      <c r="N26" s="30"/>
      <c r="O26" s="30"/>
      <c r="P26" s="30"/>
      <c r="Q26" s="30">
        <v>10000</v>
      </c>
      <c r="R26" s="14" t="b">
        <v>1</v>
      </c>
    </row>
    <row r="27" spans="1:18" x14ac:dyDescent="0.3">
      <c r="A27" s="40">
        <v>1400</v>
      </c>
      <c r="B27" s="41" t="e" cm="1">
        <f t="array" ref="B27">_xlfn.SWITCH(IFERROR(VLOOKUP($A27,#REF!,2,FALSE),""),#REF!,#REF!,#REF!,#REF!,#REF!,#REF!,#REF!,#REF!,#REF!,#REF!,"")</f>
        <v>#REF!</v>
      </c>
      <c r="C27" s="42" t="s">
        <v>102</v>
      </c>
      <c r="D27" s="43" t="str">
        <f>IFERROR(VLOOKUP($A27,#REF!,3,FALSE),"")</f>
        <v/>
      </c>
      <c r="E27" s="59" t="str">
        <f>IFERROR(VLOOKUP($A27,#REF!,5,FALSE),"")</f>
        <v/>
      </c>
      <c r="F27" s="26" t="s">
        <v>18</v>
      </c>
      <c r="G27" s="27" t="s">
        <v>19</v>
      </c>
      <c r="H27" s="28" t="s">
        <v>15</v>
      </c>
      <c r="I27" s="28"/>
      <c r="J27" s="50" t="s">
        <v>29</v>
      </c>
      <c r="K27" s="69"/>
      <c r="L27" s="30"/>
      <c r="M27" s="51"/>
      <c r="N27" s="51">
        <v>5000</v>
      </c>
      <c r="O27" s="51"/>
      <c r="P27" s="51"/>
      <c r="Q27" s="51"/>
      <c r="R27" s="14" t="b">
        <v>1</v>
      </c>
    </row>
    <row r="28" spans="1:18" x14ac:dyDescent="0.3">
      <c r="A28" s="26">
        <v>1400</v>
      </c>
      <c r="B28" s="41" t="e" cm="1">
        <f t="array" ref="B28">_xlfn.SWITCH(IFERROR(VLOOKUP($A28,#REF!,2,FALSE),""),#REF!,#REF!,#REF!,#REF!,#REF!,#REF!,#REF!,#REF!,#REF!,#REF!,"")</f>
        <v>#REF!</v>
      </c>
      <c r="C28" s="42" t="s">
        <v>102</v>
      </c>
      <c r="D28" s="43" t="str">
        <f>IFERROR(VLOOKUP($A28,#REF!,3,FALSE),"")</f>
        <v/>
      </c>
      <c r="E28" s="59" t="str">
        <f>IFERROR(VLOOKUP($A28,#REF!,5,FALSE),"")</f>
        <v/>
      </c>
      <c r="F28" s="26" t="s">
        <v>18</v>
      </c>
      <c r="G28" s="26" t="s">
        <v>19</v>
      </c>
      <c r="H28" s="28" t="s">
        <v>15</v>
      </c>
      <c r="I28" s="26"/>
      <c r="J28" s="52" t="s">
        <v>33</v>
      </c>
      <c r="K28" s="70"/>
      <c r="L28" s="30">
        <v>10000</v>
      </c>
      <c r="M28" s="51"/>
      <c r="N28" s="56"/>
      <c r="O28" s="51"/>
      <c r="P28" s="51">
        <v>8000</v>
      </c>
      <c r="Q28" s="51">
        <v>15000</v>
      </c>
      <c r="R28" s="14" t="b">
        <v>1</v>
      </c>
    </row>
    <row r="29" spans="1:18" x14ac:dyDescent="0.3">
      <c r="A29" s="46">
        <v>1400</v>
      </c>
      <c r="B29" s="16" t="e" cm="1">
        <f t="array" ref="B29">_xlfn.SWITCH(IFERROR(VLOOKUP($A29,#REF!,2,FALSE),""),#REF!,#REF!,#REF!,#REF!,#REF!,#REF!,#REF!,#REF!,#REF!,#REF!,"")</f>
        <v>#REF!</v>
      </c>
      <c r="C29" s="42" t="s">
        <v>102</v>
      </c>
      <c r="D29" s="18" t="str">
        <f>IFERROR(VLOOKUP($A29,#REF!,3,FALSE),"")</f>
        <v/>
      </c>
      <c r="E29" s="58" t="str">
        <f>IFERROR(VLOOKUP($A29,#REF!,5,FALSE),"")</f>
        <v/>
      </c>
      <c r="F29" s="27" t="s">
        <v>1</v>
      </c>
      <c r="G29" s="27" t="s">
        <v>128</v>
      </c>
      <c r="H29" s="28"/>
      <c r="I29" s="26"/>
      <c r="J29" s="29" t="s">
        <v>73</v>
      </c>
      <c r="K29" s="68"/>
      <c r="L29" s="48"/>
      <c r="M29" s="48"/>
      <c r="N29" s="48"/>
      <c r="O29" s="48"/>
      <c r="P29" s="48">
        <v>75000</v>
      </c>
      <c r="Q29" s="48"/>
      <c r="R29" s="14" t="b">
        <v>1</v>
      </c>
    </row>
    <row r="30" spans="1:18" ht="15" thickBot="1" x14ac:dyDescent="0.35">
      <c r="A30" s="40">
        <v>1401</v>
      </c>
      <c r="B30" s="41" t="e" cm="1">
        <f t="array" ref="B30">_xlfn.SWITCH(IFERROR(VLOOKUP($A30,#REF!,2,FALSE),""),#REF!,#REF!,#REF!,#REF!,#REF!,#REF!,#REF!,#REF!,#REF!,#REF!,"")</f>
        <v>#REF!</v>
      </c>
      <c r="C30" s="42" t="s">
        <v>108</v>
      </c>
      <c r="D30" s="43" t="str">
        <f>IFERROR(VLOOKUP($A30,#REF!,3,FALSE),"")</f>
        <v/>
      </c>
      <c r="E30" s="59" t="str">
        <f>IFERROR(VLOOKUP($A30,#REF!,5,FALSE),"")</f>
        <v/>
      </c>
      <c r="F30" s="27" t="s">
        <v>1</v>
      </c>
      <c r="G30" s="27" t="s">
        <v>54</v>
      </c>
      <c r="H30" s="28" t="s">
        <v>15</v>
      </c>
      <c r="I30" s="28"/>
      <c r="J30" s="64" t="s">
        <v>93</v>
      </c>
      <c r="K30" s="74"/>
      <c r="L30" s="30"/>
      <c r="M30" s="63">
        <v>7000</v>
      </c>
      <c r="N30" s="30"/>
      <c r="O30" s="31"/>
      <c r="P30" s="30"/>
      <c r="Q30" s="30"/>
      <c r="R30" s="14" t="b">
        <v>1</v>
      </c>
    </row>
    <row r="31" spans="1:18" x14ac:dyDescent="0.3">
      <c r="A31" s="36">
        <v>1401</v>
      </c>
      <c r="B31" s="41" t="e" cm="1">
        <f t="array" ref="B31">_xlfn.SWITCH(IFERROR(VLOOKUP($A31,#REF!,2,FALSE),""),#REF!,#REF!,#REF!,#REF!,#REF!,#REF!,#REF!,#REF!,#REF!,#REF!,"")</f>
        <v>#REF!</v>
      </c>
      <c r="C31" s="42" t="s">
        <v>108</v>
      </c>
      <c r="D31" s="43" t="str">
        <f>IFERROR(VLOOKUP($A31,#REF!,3,FALSE),"")</f>
        <v/>
      </c>
      <c r="E31" s="59" t="str">
        <f>IFERROR(VLOOKUP($A31,#REF!,5,FALSE),"")</f>
        <v/>
      </c>
      <c r="F31" s="26" t="s">
        <v>13</v>
      </c>
      <c r="G31" s="27" t="s">
        <v>14</v>
      </c>
      <c r="H31" s="28" t="s">
        <v>15</v>
      </c>
      <c r="I31" s="36"/>
      <c r="J31" s="57" t="s">
        <v>138</v>
      </c>
      <c r="K31" s="68" t="s">
        <v>156</v>
      </c>
      <c r="L31" s="30">
        <v>3000</v>
      </c>
      <c r="M31" s="30">
        <v>10000</v>
      </c>
      <c r="N31" s="30"/>
      <c r="O31" s="30">
        <v>5000</v>
      </c>
      <c r="P31" s="30"/>
      <c r="Q31" s="30">
        <v>5000</v>
      </c>
      <c r="R31" s="14" t="b">
        <v>1</v>
      </c>
    </row>
    <row r="32" spans="1:18" x14ac:dyDescent="0.3">
      <c r="A32" s="40">
        <v>1402</v>
      </c>
      <c r="B32" s="41" t="e" cm="1">
        <f t="array" ref="B32">_xlfn.SWITCH(IFERROR(VLOOKUP($A32,#REF!,2,FALSE),""),#REF!,#REF!,#REF!,#REF!,#REF!,#REF!,#REF!,#REF!,#REF!,#REF!,"")</f>
        <v>#REF!</v>
      </c>
      <c r="C32" s="45" t="s">
        <v>98</v>
      </c>
      <c r="D32" s="43" t="str">
        <f>IFERROR(VLOOKUP($A32,#REF!,3,FALSE),"")</f>
        <v/>
      </c>
      <c r="E32" s="59" t="str">
        <f>IFERROR(VLOOKUP($A32,#REF!,5,FALSE),"")</f>
        <v/>
      </c>
      <c r="F32" s="27" t="s">
        <v>1</v>
      </c>
      <c r="G32" s="27" t="s">
        <v>35</v>
      </c>
      <c r="H32" s="28" t="s">
        <v>15</v>
      </c>
      <c r="I32" s="28"/>
      <c r="J32" s="29" t="s">
        <v>141</v>
      </c>
      <c r="K32" s="68"/>
      <c r="L32" s="30">
        <v>25000</v>
      </c>
      <c r="M32" s="30">
        <v>20000</v>
      </c>
      <c r="N32" s="63">
        <v>20000</v>
      </c>
      <c r="O32" s="30"/>
      <c r="P32" s="30"/>
      <c r="Q32" s="30"/>
      <c r="R32" s="14" t="b">
        <v>1</v>
      </c>
    </row>
    <row r="33" spans="1:19" x14ac:dyDescent="0.3">
      <c r="A33" s="40">
        <v>1402</v>
      </c>
      <c r="B33" s="41" t="e" cm="1">
        <f t="array" ref="B33">_xlfn.SWITCH(IFERROR(VLOOKUP($A33,#REF!,2,FALSE),""),#REF!,#REF!,#REF!,#REF!,#REF!,#REF!,#REF!,#REF!,#REF!,#REF!,"")</f>
        <v>#REF!</v>
      </c>
      <c r="C33" s="45" t="s">
        <v>98</v>
      </c>
      <c r="D33" s="43" t="str">
        <f>IFERROR(VLOOKUP($A33,#REF!,3,FALSE),"")</f>
        <v/>
      </c>
      <c r="E33" s="59" t="str">
        <f>IFERROR(VLOOKUP($A33,#REF!,5,FALSE),"")</f>
        <v/>
      </c>
      <c r="F33" s="27" t="s">
        <v>13</v>
      </c>
      <c r="G33" s="27" t="s">
        <v>36</v>
      </c>
      <c r="H33" s="28" t="s">
        <v>15</v>
      </c>
      <c r="I33" s="28"/>
      <c r="J33" s="29" t="s">
        <v>45</v>
      </c>
      <c r="K33" s="68"/>
      <c r="L33" s="30"/>
      <c r="M33" s="30"/>
      <c r="N33" s="30"/>
      <c r="O33" s="30">
        <v>50000</v>
      </c>
      <c r="P33" s="30">
        <v>50000</v>
      </c>
      <c r="Q33" s="30"/>
      <c r="R33" s="14" t="b">
        <v>1</v>
      </c>
    </row>
    <row r="34" spans="1:19" x14ac:dyDescent="0.3">
      <c r="A34" s="46">
        <v>1402</v>
      </c>
      <c r="B34" s="16" t="e" cm="1">
        <f t="array" ref="B34">_xlfn.SWITCH(IFERROR(VLOOKUP($A34,#REF!,2,FALSE),""),#REF!,#REF!,#REF!,#REF!,#REF!,#REF!,#REF!,#REF!,#REF!,#REF!,"")</f>
        <v>#REF!</v>
      </c>
      <c r="C34" s="45" t="s">
        <v>98</v>
      </c>
      <c r="D34" s="18" t="str">
        <f>IFERROR(VLOOKUP($A34,#REF!,3,FALSE),"")</f>
        <v/>
      </c>
      <c r="E34" s="58" t="str">
        <f>IFERROR(VLOOKUP($A34,#REF!,5,FALSE),"")</f>
        <v/>
      </c>
      <c r="F34" s="54" t="s">
        <v>1</v>
      </c>
      <c r="G34" s="27" t="s">
        <v>54</v>
      </c>
      <c r="H34" s="19" t="s">
        <v>15</v>
      </c>
      <c r="I34" s="19"/>
      <c r="J34" s="55" t="s">
        <v>79</v>
      </c>
      <c r="K34" s="75"/>
      <c r="L34" s="30">
        <v>10000</v>
      </c>
      <c r="M34" s="48"/>
      <c r="N34" s="48">
        <v>3000</v>
      </c>
      <c r="O34" s="48"/>
      <c r="P34" s="48"/>
      <c r="Q34" s="48">
        <v>3000</v>
      </c>
      <c r="R34" s="14" t="b">
        <v>1</v>
      </c>
    </row>
    <row r="35" spans="1:19" x14ac:dyDescent="0.3">
      <c r="A35" s="40">
        <v>1424</v>
      </c>
      <c r="B35" s="41" t="e" cm="1">
        <f t="array" ref="B35">_xlfn.SWITCH(IFERROR(VLOOKUP($A35,#REF!,2,FALSE),""),#REF!,#REF!,#REF!,#REF!,#REF!,#REF!,#REF!,#REF!,#REF!,#REF!,"")</f>
        <v>#REF!</v>
      </c>
      <c r="C35" s="42" t="s">
        <v>99</v>
      </c>
      <c r="D35" s="43" t="str">
        <f>IFERROR(VLOOKUP($A35,#REF!,3,FALSE),"")</f>
        <v/>
      </c>
      <c r="E35" s="59" t="str">
        <f>IFERROR(VLOOKUP($A35,#REF!,5,FALSE),"")</f>
        <v/>
      </c>
      <c r="F35" s="26" t="s">
        <v>13</v>
      </c>
      <c r="G35" s="27" t="s">
        <v>32</v>
      </c>
      <c r="H35" s="28" t="s">
        <v>15</v>
      </c>
      <c r="I35" s="28"/>
      <c r="J35" s="29" t="s">
        <v>30</v>
      </c>
      <c r="K35" s="29"/>
      <c r="L35" s="30"/>
      <c r="M35" s="30">
        <v>20000</v>
      </c>
      <c r="N35" s="30"/>
      <c r="O35" s="30"/>
      <c r="P35" s="30"/>
      <c r="Q35" s="30"/>
      <c r="R35" s="14" t="b">
        <v>1</v>
      </c>
    </row>
    <row r="36" spans="1:19" x14ac:dyDescent="0.3">
      <c r="A36" s="40">
        <v>1427</v>
      </c>
      <c r="B36" s="41" t="e" cm="1">
        <f t="array" ref="B36">_xlfn.SWITCH(IFERROR(VLOOKUP($A36,#REF!,2,FALSE),""),#REF!,#REF!,#REF!,#REF!,#REF!,#REF!,#REF!,#REF!,#REF!,#REF!,"")</f>
        <v>#REF!</v>
      </c>
      <c r="C36" s="42" t="s">
        <v>107</v>
      </c>
      <c r="D36" s="43" t="str">
        <f>IFERROR(VLOOKUP($A36,#REF!,3,FALSE),"")</f>
        <v/>
      </c>
      <c r="E36" s="59" t="str">
        <f>IFERROR(VLOOKUP($A36,#REF!,5,FALSE),"")</f>
        <v/>
      </c>
      <c r="F36" s="26" t="s">
        <v>18</v>
      </c>
      <c r="G36" s="26" t="s">
        <v>19</v>
      </c>
      <c r="H36" s="28" t="s">
        <v>15</v>
      </c>
      <c r="I36" s="28"/>
      <c r="J36" s="50" t="s">
        <v>56</v>
      </c>
      <c r="K36" s="50"/>
      <c r="L36" s="30"/>
      <c r="M36" s="51"/>
      <c r="N36" s="51"/>
      <c r="O36" s="51"/>
      <c r="P36" s="51">
        <v>15000</v>
      </c>
      <c r="Q36" s="51"/>
      <c r="R36" s="14" t="b">
        <v>1</v>
      </c>
    </row>
    <row r="37" spans="1:19" x14ac:dyDescent="0.3">
      <c r="A37" s="40">
        <v>1429</v>
      </c>
      <c r="B37" s="41" t="e" cm="1">
        <f t="array" ref="B37">_xlfn.SWITCH(IFERROR(VLOOKUP($A37,#REF!,2,FALSE),""),#REF!,#REF!,#REF!,#REF!,#REF!,#REF!,#REF!,#REF!,#REF!,#REF!,"")</f>
        <v>#REF!</v>
      </c>
      <c r="C37" s="42" t="s">
        <v>105</v>
      </c>
      <c r="D37" s="43" t="str">
        <f>IFERROR(VLOOKUP($A37,#REF!,3,FALSE),"")</f>
        <v/>
      </c>
      <c r="E37" s="59" t="str">
        <f>IFERROR(VLOOKUP($A37,#REF!,5,FALSE),"")</f>
        <v/>
      </c>
      <c r="F37" s="26" t="s">
        <v>1</v>
      </c>
      <c r="G37" s="28" t="s">
        <v>54</v>
      </c>
      <c r="H37" s="28" t="s">
        <v>15</v>
      </c>
      <c r="I37" s="28"/>
      <c r="J37" s="64" t="s">
        <v>28</v>
      </c>
      <c r="K37" s="74"/>
      <c r="L37" s="30">
        <v>6000</v>
      </c>
      <c r="M37" s="30"/>
      <c r="N37" s="30"/>
      <c r="O37" s="30"/>
      <c r="P37" s="30"/>
      <c r="Q37" s="30">
        <v>10000</v>
      </c>
      <c r="R37" s="14" t="b">
        <v>1</v>
      </c>
    </row>
    <row r="38" spans="1:19" x14ac:dyDescent="0.3">
      <c r="A38" s="40">
        <v>1429</v>
      </c>
      <c r="B38" s="41" t="e" cm="1">
        <f t="array" ref="B38">_xlfn.SWITCH(IFERROR(VLOOKUP($A38,#REF!,2,FALSE),""),#REF!,#REF!,#REF!,#REF!,#REF!,#REF!,#REF!,#REF!,#REF!,#REF!,"")</f>
        <v>#REF!</v>
      </c>
      <c r="C38" s="42" t="s">
        <v>105</v>
      </c>
      <c r="D38" s="43" t="str">
        <f>IFERROR(VLOOKUP($A38,#REF!,3,FALSE),"")</f>
        <v/>
      </c>
      <c r="E38" s="59" t="str">
        <f>IFERROR(VLOOKUP($A38,#REF!,5,FALSE),"")</f>
        <v/>
      </c>
      <c r="F38" s="27" t="s">
        <v>1</v>
      </c>
      <c r="G38" s="27" t="s">
        <v>129</v>
      </c>
      <c r="H38" s="28" t="s">
        <v>15</v>
      </c>
      <c r="I38" s="28"/>
      <c r="J38" s="29" t="s">
        <v>57</v>
      </c>
      <c r="K38" s="68"/>
      <c r="L38" s="30">
        <v>5000</v>
      </c>
      <c r="M38" s="30"/>
      <c r="N38" s="30"/>
      <c r="O38" s="30"/>
      <c r="P38" s="30"/>
      <c r="Q38" s="30">
        <v>7000</v>
      </c>
      <c r="R38" s="14" t="b">
        <v>1</v>
      </c>
    </row>
    <row r="39" spans="1:19" x14ac:dyDescent="0.3">
      <c r="A39" s="40">
        <v>1429</v>
      </c>
      <c r="B39" s="41" t="e" cm="1">
        <f t="array" ref="B39">_xlfn.SWITCH(IFERROR(VLOOKUP($A39,#REF!,2,FALSE),""),#REF!,#REF!,#REF!,#REF!,#REF!,#REF!,#REF!,#REF!,#REF!,#REF!,"")</f>
        <v>#REF!</v>
      </c>
      <c r="C39" s="42" t="s">
        <v>105</v>
      </c>
      <c r="D39" s="43" t="str">
        <f>IFERROR(VLOOKUP($A39,#REF!,3,FALSE),"")</f>
        <v/>
      </c>
      <c r="E39" s="59" t="str">
        <f>IFERROR(VLOOKUP($A39,#REF!,5,FALSE),"")</f>
        <v/>
      </c>
      <c r="F39" s="27" t="s">
        <v>1</v>
      </c>
      <c r="G39" s="34" t="s">
        <v>54</v>
      </c>
      <c r="H39" s="28" t="s">
        <v>15</v>
      </c>
      <c r="I39" s="28"/>
      <c r="J39" s="29" t="s">
        <v>145</v>
      </c>
      <c r="K39" s="68"/>
      <c r="L39" s="30"/>
      <c r="M39" s="30"/>
      <c r="N39" s="30"/>
      <c r="O39" s="30">
        <v>25000</v>
      </c>
      <c r="P39" s="30"/>
      <c r="Q39" s="30"/>
      <c r="R39" s="14" t="b">
        <v>1</v>
      </c>
    </row>
    <row r="40" spans="1:19" x14ac:dyDescent="0.3">
      <c r="A40" s="40">
        <v>1429</v>
      </c>
      <c r="B40" s="41" t="e" cm="1">
        <f t="array" ref="B40">_xlfn.SWITCH(IFERROR(VLOOKUP($A40,#REF!,2,FALSE),""),#REF!,#REF!,#REF!,#REF!,#REF!,#REF!,#REF!,#REF!,#REF!,#REF!,"")</f>
        <v>#REF!</v>
      </c>
      <c r="C40" s="42" t="s">
        <v>105</v>
      </c>
      <c r="D40" s="43" t="str">
        <f>IFERROR(VLOOKUP($A40,#REF!,3,FALSE),"")</f>
        <v/>
      </c>
      <c r="E40" s="59" t="str">
        <f>IFERROR(VLOOKUP($A40,#REF!,5,FALSE),"")</f>
        <v/>
      </c>
      <c r="F40" s="27" t="s">
        <v>1</v>
      </c>
      <c r="G40" s="27" t="s">
        <v>54</v>
      </c>
      <c r="H40" s="28" t="s">
        <v>15</v>
      </c>
      <c r="I40" s="28"/>
      <c r="J40" s="64" t="s">
        <v>157</v>
      </c>
      <c r="K40" s="74"/>
      <c r="L40" s="30"/>
      <c r="M40" s="51"/>
      <c r="N40" s="51">
        <v>5000</v>
      </c>
      <c r="O40" s="51"/>
      <c r="P40" s="51"/>
      <c r="Q40" s="51"/>
      <c r="R40" s="14" t="b">
        <v>1</v>
      </c>
    </row>
    <row r="41" spans="1:19" x14ac:dyDescent="0.3">
      <c r="A41" s="40">
        <v>1430</v>
      </c>
      <c r="B41" s="41" t="e" cm="1">
        <f t="array" ref="B41">_xlfn.SWITCH(IFERROR(VLOOKUP($A41,#REF!,2,FALSE),""),#REF!,#REF!,#REF!,#REF!,#REF!,#REF!,#REF!,#REF!,#REF!,#REF!,"")</f>
        <v>#REF!</v>
      </c>
      <c r="C41" s="42" t="s">
        <v>101</v>
      </c>
      <c r="D41" s="43" t="str">
        <f>IFERROR(VLOOKUP($A41,#REF!,3,FALSE),"")</f>
        <v/>
      </c>
      <c r="E41" s="59" t="str">
        <f>IFERROR(VLOOKUP($A41,#REF!,5,FALSE),"")</f>
        <v/>
      </c>
      <c r="F41" s="27" t="s">
        <v>13</v>
      </c>
      <c r="G41" s="27" t="s">
        <v>14</v>
      </c>
      <c r="H41" s="28" t="s">
        <v>15</v>
      </c>
      <c r="I41" s="28"/>
      <c r="J41" s="29" t="s">
        <v>140</v>
      </c>
      <c r="K41" s="68"/>
      <c r="L41" s="30"/>
      <c r="M41" s="103">
        <v>10000</v>
      </c>
      <c r="N41" s="53">
        <v>15000</v>
      </c>
      <c r="O41" s="30"/>
      <c r="P41" s="30"/>
      <c r="Q41" s="30">
        <v>5000</v>
      </c>
      <c r="R41" s="14" t="b">
        <v>1</v>
      </c>
    </row>
    <row r="42" spans="1:19" x14ac:dyDescent="0.3">
      <c r="A42" s="46">
        <v>1470</v>
      </c>
      <c r="B42" s="16" t="e" cm="1">
        <f t="array" ref="B42">_xlfn.SWITCH(IFERROR(VLOOKUP($A42,#REF!,2,FALSE),""),#REF!,#REF!,#REF!,#REF!,#REF!,#REF!,#REF!,#REF!,#REF!,#REF!,"")</f>
        <v>#REF!</v>
      </c>
      <c r="C42" s="17" t="s">
        <v>100</v>
      </c>
      <c r="D42" s="18" t="str">
        <f>IFERROR(VLOOKUP($A42,#REF!,3,FALSE),"")</f>
        <v/>
      </c>
      <c r="E42" s="58" t="str">
        <f>IFERROR(VLOOKUP($A42,#REF!,5,FALSE),"")</f>
        <v/>
      </c>
      <c r="F42" s="15" t="s">
        <v>1</v>
      </c>
      <c r="G42" s="15" t="s">
        <v>44</v>
      </c>
      <c r="H42" s="19"/>
      <c r="I42" s="15"/>
      <c r="J42" s="47" t="s">
        <v>91</v>
      </c>
      <c r="K42" s="76"/>
      <c r="L42" s="48">
        <v>1500</v>
      </c>
      <c r="M42" s="48"/>
      <c r="N42" s="48"/>
      <c r="O42" s="48"/>
      <c r="P42" s="48"/>
      <c r="Q42" s="48"/>
      <c r="R42" s="14" t="b">
        <v>1</v>
      </c>
    </row>
    <row r="43" spans="1:19" x14ac:dyDescent="0.3">
      <c r="A43" s="46">
        <v>1470</v>
      </c>
      <c r="B43" s="16" t="e" cm="1">
        <f t="array" ref="B43">_xlfn.SWITCH(IFERROR(VLOOKUP($A43,#REF!,2,FALSE),""),#REF!,#REF!,#REF!,#REF!,#REF!,#REF!,#REF!,#REF!,#REF!,#REF!,"")</f>
        <v>#REF!</v>
      </c>
      <c r="C43" s="17" t="s">
        <v>100</v>
      </c>
      <c r="D43" s="18" t="str">
        <f>IFERROR(VLOOKUP($A43,#REF!,3,FALSE),"")</f>
        <v/>
      </c>
      <c r="E43" s="58" t="str">
        <f>IFERROR(VLOOKUP($A43,#REF!,5,FALSE),"")</f>
        <v/>
      </c>
      <c r="F43" s="15" t="s">
        <v>1</v>
      </c>
      <c r="G43" s="15" t="s">
        <v>44</v>
      </c>
      <c r="H43" s="19"/>
      <c r="I43" s="15"/>
      <c r="J43" s="47" t="s">
        <v>92</v>
      </c>
      <c r="K43" s="76"/>
      <c r="L43" s="48">
        <v>2500</v>
      </c>
      <c r="M43" s="48"/>
      <c r="N43" s="48"/>
      <c r="O43" s="48"/>
      <c r="P43" s="48"/>
      <c r="Q43" s="48"/>
      <c r="R43" s="14" t="b">
        <v>1</v>
      </c>
    </row>
    <row r="44" spans="1:19" x14ac:dyDescent="0.3">
      <c r="A44" s="46">
        <v>1487</v>
      </c>
      <c r="B44" s="16" t="e" cm="1">
        <f t="array" ref="B44">_xlfn.SWITCH(IFERROR(VLOOKUP($A44,#REF!,2,FALSE),""),#REF!,#REF!,#REF!,#REF!,#REF!,#REF!,#REF!,#REF!,#REF!,#REF!,"")</f>
        <v>#REF!</v>
      </c>
      <c r="C44" s="17" t="s">
        <v>104</v>
      </c>
      <c r="D44" s="18" t="str">
        <f>IFERROR(VLOOKUP($A44,#REF!,3,FALSE),"")</f>
        <v/>
      </c>
      <c r="E44" s="58" t="str">
        <f>IFERROR(VLOOKUP($A44,#REF!,5,FALSE),"")</f>
        <v/>
      </c>
      <c r="F44" s="15" t="s">
        <v>1</v>
      </c>
      <c r="G44" s="15" t="s">
        <v>35</v>
      </c>
      <c r="H44" s="19"/>
      <c r="I44" s="15"/>
      <c r="J44" s="47" t="s">
        <v>90</v>
      </c>
      <c r="K44" s="47"/>
      <c r="L44" s="48"/>
      <c r="M44" s="48"/>
      <c r="N44" s="48"/>
      <c r="O44" s="48"/>
      <c r="P44" s="48"/>
      <c r="Q44" s="48">
        <v>50000</v>
      </c>
      <c r="R44" s="14" t="b">
        <v>1</v>
      </c>
    </row>
    <row r="45" spans="1:19" x14ac:dyDescent="0.3">
      <c r="A45" s="40">
        <v>1718</v>
      </c>
      <c r="B45" s="41" t="e" cm="1">
        <f t="array" ref="B45">_xlfn.SWITCH(IFERROR(VLOOKUP($A45,#REF!,2,FALSE),""),#REF!,#REF!,#REF!,#REF!,#REF!,#REF!,#REF!,#REF!,#REF!,#REF!,"")</f>
        <v>#REF!</v>
      </c>
      <c r="C45" s="42" t="s">
        <v>103</v>
      </c>
      <c r="D45" s="43" t="str">
        <f>IFERROR(VLOOKUP($A45,#REF!,3,FALSE),"")</f>
        <v/>
      </c>
      <c r="E45" s="59" t="str">
        <f>IFERROR(VLOOKUP($A45,#REF!,5,FALSE),"")</f>
        <v/>
      </c>
      <c r="F45" s="27" t="s">
        <v>18</v>
      </c>
      <c r="G45" s="27" t="s">
        <v>19</v>
      </c>
      <c r="H45" s="28" t="s">
        <v>15</v>
      </c>
      <c r="I45" s="28"/>
      <c r="J45" s="50" t="s">
        <v>136</v>
      </c>
      <c r="K45" s="50"/>
      <c r="L45" s="30"/>
      <c r="M45" s="51"/>
      <c r="N45" s="51">
        <v>3000</v>
      </c>
      <c r="O45" s="51"/>
      <c r="P45" s="51"/>
      <c r="Q45" s="51"/>
      <c r="R45" s="14" t="b">
        <v>1</v>
      </c>
      <c r="S45" t="s">
        <v>126</v>
      </c>
    </row>
    <row r="46" spans="1:19" x14ac:dyDescent="0.3">
      <c r="A46" s="26">
        <v>1718</v>
      </c>
      <c r="B46" s="41" t="e" cm="1">
        <f t="array" ref="B46">_xlfn.SWITCH(IFERROR(VLOOKUP($A46,#REF!,2,FALSE),""),#REF!,#REF!,#REF!,#REF!,#REF!,#REF!,#REF!,#REF!,#REF!,#REF!,"")</f>
        <v>#REF!</v>
      </c>
      <c r="C46" s="42" t="s">
        <v>103</v>
      </c>
      <c r="D46" s="43" t="str">
        <f>IFERROR(VLOOKUP($A46,#REF!,3,FALSE),"")</f>
        <v/>
      </c>
      <c r="E46" s="59" t="str">
        <f>IFERROR(VLOOKUP($A46,#REF!,5,FALSE),"")</f>
        <v/>
      </c>
      <c r="F46" s="26" t="s">
        <v>13</v>
      </c>
      <c r="G46" s="26" t="s">
        <v>36</v>
      </c>
      <c r="H46" s="28" t="s">
        <v>15</v>
      </c>
      <c r="I46" s="26"/>
      <c r="J46" s="32" t="s">
        <v>45</v>
      </c>
      <c r="K46" s="32"/>
      <c r="L46" s="30"/>
      <c r="M46" s="30"/>
      <c r="N46" s="30"/>
      <c r="O46" s="30"/>
      <c r="P46" s="30">
        <v>50000</v>
      </c>
      <c r="Q46" s="30">
        <v>75000</v>
      </c>
      <c r="R46" s="14" t="b">
        <v>1</v>
      </c>
      <c r="S46" t="s">
        <v>126</v>
      </c>
    </row>
    <row r="47" spans="1:19" x14ac:dyDescent="0.3">
      <c r="A47" s="40">
        <v>1718</v>
      </c>
      <c r="B47" s="41" t="e" cm="1">
        <f t="array" ref="B47">_xlfn.SWITCH(IFERROR(VLOOKUP($A47,#REF!,2,FALSE),""),#REF!,#REF!,#REF!,#REF!,#REF!,#REF!,#REF!,#REF!,#REF!,#REF!,"")</f>
        <v>#REF!</v>
      </c>
      <c r="C47" s="42" t="s">
        <v>103</v>
      </c>
      <c r="D47" s="43" t="str">
        <f>IFERROR(VLOOKUP($A47,#REF!,3,FALSE),"")</f>
        <v/>
      </c>
      <c r="E47" s="59" t="str">
        <f>IFERROR(VLOOKUP($A47,#REF!,5,FALSE),"")</f>
        <v/>
      </c>
      <c r="F47" s="27" t="s">
        <v>13</v>
      </c>
      <c r="G47" s="27" t="s">
        <v>32</v>
      </c>
      <c r="H47" s="28" t="s">
        <v>15</v>
      </c>
      <c r="I47" s="35"/>
      <c r="J47" s="29" t="s">
        <v>60</v>
      </c>
      <c r="K47" s="29"/>
      <c r="L47" s="30"/>
      <c r="M47" s="30"/>
      <c r="N47" s="30"/>
      <c r="O47" s="30">
        <v>8000</v>
      </c>
      <c r="P47" s="30"/>
      <c r="Q47" s="30"/>
      <c r="R47" s="14" t="b">
        <v>1</v>
      </c>
      <c r="S47" t="s">
        <v>126</v>
      </c>
    </row>
    <row r="48" spans="1:19" x14ac:dyDescent="0.3">
      <c r="A48" s="40">
        <v>1718</v>
      </c>
      <c r="B48" s="41" t="e" cm="1">
        <f t="array" ref="B48">_xlfn.SWITCH(IFERROR(VLOOKUP($A48,#REF!,2,FALSE),""),#REF!,#REF!,#REF!,#REF!,#REF!,#REF!,#REF!,#REF!,#REF!,#REF!,"")</f>
        <v>#REF!</v>
      </c>
      <c r="C48" s="42" t="s">
        <v>103</v>
      </c>
      <c r="D48" s="43" t="str">
        <f>IFERROR(VLOOKUP($A48,#REF!,3,FALSE),"")</f>
        <v/>
      </c>
      <c r="E48" s="59" t="str">
        <f>IFERROR(VLOOKUP($A48,#REF!,5,FALSE),"")</f>
        <v/>
      </c>
      <c r="F48" s="27" t="s">
        <v>13</v>
      </c>
      <c r="G48" s="27" t="s">
        <v>14</v>
      </c>
      <c r="H48" s="28" t="s">
        <v>15</v>
      </c>
      <c r="I48" s="28"/>
      <c r="J48" s="29" t="s">
        <v>167</v>
      </c>
      <c r="K48" s="29" t="s">
        <v>166</v>
      </c>
      <c r="L48" s="30"/>
      <c r="M48" s="63">
        <v>14000</v>
      </c>
      <c r="N48" s="30"/>
      <c r="O48" s="30"/>
      <c r="P48" s="30"/>
      <c r="Q48" s="30"/>
      <c r="R48" s="14" t="b">
        <v>1</v>
      </c>
    </row>
    <row r="49" spans="1:19" x14ac:dyDescent="0.3">
      <c r="A49" s="26">
        <v>1718</v>
      </c>
      <c r="B49" s="41" t="e" cm="1">
        <f t="array" ref="B49">_xlfn.SWITCH(IFERROR(VLOOKUP($A49,#REF!,2,FALSE),""),#REF!,#REF!,#REF!,#REF!,#REF!,#REF!,#REF!,#REF!,#REF!,#REF!,"")</f>
        <v>#REF!</v>
      </c>
      <c r="C49" s="42" t="s">
        <v>103</v>
      </c>
      <c r="D49" s="43" t="str">
        <f>IFERROR(VLOOKUP($A49,#REF!,3,FALSE),"")</f>
        <v/>
      </c>
      <c r="E49" s="59" t="str">
        <f>IFERROR(VLOOKUP($A49,#REF!,5,FALSE),"")</f>
        <v/>
      </c>
      <c r="F49" s="26" t="s">
        <v>13</v>
      </c>
      <c r="G49" s="26" t="s">
        <v>24</v>
      </c>
      <c r="H49" s="28" t="s">
        <v>15</v>
      </c>
      <c r="I49" s="26"/>
      <c r="J49" s="32" t="s">
        <v>61</v>
      </c>
      <c r="K49" s="32"/>
      <c r="L49" s="30"/>
      <c r="M49" s="30"/>
      <c r="N49" s="30">
        <v>7000</v>
      </c>
      <c r="O49" s="30"/>
      <c r="P49" s="30"/>
      <c r="Q49" s="30"/>
      <c r="R49" s="14" t="b">
        <v>1</v>
      </c>
      <c r="S49" t="s">
        <v>126</v>
      </c>
    </row>
    <row r="50" spans="1:19" x14ac:dyDescent="0.3">
      <c r="A50" s="26">
        <v>1718</v>
      </c>
      <c r="B50" s="41" t="e" cm="1">
        <f t="array" ref="B50">_xlfn.SWITCH(IFERROR(VLOOKUP($A50,#REF!,2,FALSE),""),#REF!,#REF!,#REF!,#REF!,#REF!,#REF!,#REF!,#REF!,#REF!,#REF!,"")</f>
        <v>#REF!</v>
      </c>
      <c r="C50" s="42" t="s">
        <v>103</v>
      </c>
      <c r="D50" s="43" t="str">
        <f>IFERROR(VLOOKUP($A50,#REF!,3,FALSE),"")</f>
        <v/>
      </c>
      <c r="E50" s="59" t="str">
        <f>IFERROR(VLOOKUP($A50,#REF!,5,FALSE),"")</f>
        <v/>
      </c>
      <c r="F50" s="27" t="s">
        <v>13</v>
      </c>
      <c r="G50" s="26" t="s">
        <v>32</v>
      </c>
      <c r="H50" s="28" t="s">
        <v>15</v>
      </c>
      <c r="I50" s="28"/>
      <c r="J50" s="32" t="s">
        <v>30</v>
      </c>
      <c r="K50" s="32"/>
      <c r="L50" s="30"/>
      <c r="M50" s="30"/>
      <c r="N50" s="30">
        <v>10000</v>
      </c>
      <c r="O50" s="30"/>
      <c r="P50" s="30"/>
      <c r="Q50" s="30"/>
      <c r="R50" s="14" t="b">
        <v>1</v>
      </c>
      <c r="S50" t="s">
        <v>126</v>
      </c>
    </row>
    <row r="51" spans="1:19" x14ac:dyDescent="0.3">
      <c r="A51" s="26">
        <v>1718</v>
      </c>
      <c r="B51" s="41" t="e" cm="1">
        <f t="array" ref="B51">_xlfn.SWITCH(IFERROR(VLOOKUP($A51,#REF!,2,FALSE),""),#REF!,#REF!,#REF!,#REF!,#REF!,#REF!,#REF!,#REF!,#REF!,#REF!,"")</f>
        <v>#REF!</v>
      </c>
      <c r="C51" s="42" t="s">
        <v>103</v>
      </c>
      <c r="D51" s="43" t="str">
        <f>IFERROR(VLOOKUP($A51,#REF!,3,FALSE),"")</f>
        <v/>
      </c>
      <c r="E51" s="59" t="str">
        <f>IFERROR(VLOOKUP($A51,#REF!,5,FALSE),"")</f>
        <v/>
      </c>
      <c r="F51" s="26" t="s">
        <v>13</v>
      </c>
      <c r="G51" s="26" t="s">
        <v>32</v>
      </c>
      <c r="H51" s="28" t="s">
        <v>15</v>
      </c>
      <c r="I51" s="26"/>
      <c r="J51" s="32" t="s">
        <v>144</v>
      </c>
      <c r="K51" s="32"/>
      <c r="L51" s="30"/>
      <c r="M51" s="30"/>
      <c r="N51" s="30"/>
      <c r="O51" s="30">
        <v>20000</v>
      </c>
      <c r="P51" s="30"/>
      <c r="Q51" s="30"/>
      <c r="R51" s="14" t="b">
        <v>1</v>
      </c>
      <c r="S51" t="s">
        <v>126</v>
      </c>
    </row>
    <row r="52" spans="1:19" x14ac:dyDescent="0.3">
      <c r="A52" s="40">
        <v>1718</v>
      </c>
      <c r="B52" s="41" t="e" cm="1">
        <f t="array" ref="B52">_xlfn.SWITCH(IFERROR(VLOOKUP($A52,#REF!,2,FALSE),""),#REF!,#REF!,#REF!,#REF!,#REF!,#REF!,#REF!,#REF!,#REF!,#REF!,"")</f>
        <v>#REF!</v>
      </c>
      <c r="C52" s="42" t="s">
        <v>103</v>
      </c>
      <c r="D52" s="43" t="str">
        <f>IFERROR(VLOOKUP($A52,#REF!,3,FALSE),"")</f>
        <v/>
      </c>
      <c r="E52" s="59" t="str">
        <f>IFERROR(VLOOKUP($A52,#REF!,5,FALSE),"")</f>
        <v/>
      </c>
      <c r="F52" s="27" t="s">
        <v>1</v>
      </c>
      <c r="G52" s="28" t="s">
        <v>23</v>
      </c>
      <c r="H52" s="28" t="s">
        <v>15</v>
      </c>
      <c r="I52" s="28"/>
      <c r="J52" s="29" t="s">
        <v>59</v>
      </c>
      <c r="K52" s="29"/>
      <c r="L52" s="30"/>
      <c r="M52" s="30"/>
      <c r="N52" s="30"/>
      <c r="O52" s="30">
        <v>10000</v>
      </c>
      <c r="P52" s="30"/>
      <c r="Q52" s="30"/>
      <c r="R52" s="14" t="b">
        <v>1</v>
      </c>
      <c r="S52" t="s">
        <v>126</v>
      </c>
    </row>
    <row r="53" spans="1:19" x14ac:dyDescent="0.3">
      <c r="A53" s="40">
        <v>1799</v>
      </c>
      <c r="B53" s="41" t="e" cm="1">
        <f t="array" ref="B53">_xlfn.SWITCH(IFERROR(VLOOKUP($A53,#REF!,2,FALSE),""),#REF!,#REF!,#REF!,#REF!,#REF!,#REF!,#REF!,#REF!,#REF!,#REF!,"")</f>
        <v>#REF!</v>
      </c>
      <c r="C53" s="42" t="s">
        <v>34</v>
      </c>
      <c r="D53" s="43" t="str">
        <f>IFERROR(VLOOKUP($A53,#REF!,3,FALSE),"")</f>
        <v/>
      </c>
      <c r="E53" s="59" t="str">
        <f>IFERROR(VLOOKUP($A53,#REF!,5,FALSE),"")</f>
        <v/>
      </c>
      <c r="F53" s="27" t="s">
        <v>1</v>
      </c>
      <c r="G53" s="8" t="s">
        <v>35</v>
      </c>
      <c r="H53" s="28" t="s">
        <v>15</v>
      </c>
      <c r="I53" s="28"/>
      <c r="J53" s="29" t="s">
        <v>143</v>
      </c>
      <c r="K53" s="29"/>
      <c r="L53" s="30"/>
      <c r="M53" s="30">
        <v>30000</v>
      </c>
      <c r="N53" s="30"/>
      <c r="O53" s="30"/>
      <c r="P53" s="30"/>
      <c r="Q53" s="30"/>
      <c r="R53" s="14" t="b">
        <v>1</v>
      </c>
    </row>
    <row r="54" spans="1:19" x14ac:dyDescent="0.3">
      <c r="A54" s="46">
        <v>1799</v>
      </c>
      <c r="B54" s="16" t="e" cm="1">
        <f t="array" ref="B54">_xlfn.SWITCH(IFERROR(VLOOKUP($A54,#REF!,2,FALSE),""),#REF!,#REF!,#REF!,#REF!,#REF!,#REF!,#REF!,#REF!,#REF!,#REF!,"")</f>
        <v>#REF!</v>
      </c>
      <c r="C54" s="42" t="s">
        <v>34</v>
      </c>
      <c r="D54" s="18" t="str">
        <f>IFERROR(VLOOKUP($A54,#REF!,3,FALSE),"")</f>
        <v/>
      </c>
      <c r="E54" s="58" t="str">
        <f>IFERROR(VLOOKUP($A54,#REF!,5,FALSE),"")</f>
        <v/>
      </c>
      <c r="F54" s="15" t="s">
        <v>1</v>
      </c>
      <c r="G54" s="9" t="s">
        <v>54</v>
      </c>
      <c r="H54" s="19"/>
      <c r="I54" s="15"/>
      <c r="J54" s="65" t="s">
        <v>46</v>
      </c>
      <c r="K54" s="65"/>
      <c r="L54" s="48"/>
      <c r="M54" s="48"/>
      <c r="N54" s="48">
        <v>25000</v>
      </c>
      <c r="O54" s="48"/>
      <c r="P54" s="48"/>
      <c r="Q54" s="48"/>
      <c r="R54" s="14" t="b">
        <v>1</v>
      </c>
    </row>
    <row r="55" spans="1:19" x14ac:dyDescent="0.3">
      <c r="A55" s="46">
        <v>1799</v>
      </c>
      <c r="B55" s="16" t="e" cm="1">
        <f t="array" ref="B55">_xlfn.SWITCH(IFERROR(VLOOKUP($A55,#REF!,2,FALSE),""),#REF!,#REF!,#REF!,#REF!,#REF!,#REF!,#REF!,#REF!,#REF!,#REF!,"")</f>
        <v>#REF!</v>
      </c>
      <c r="C55" s="42" t="s">
        <v>34</v>
      </c>
      <c r="D55" s="18" t="str">
        <f>IFERROR(VLOOKUP($A55,#REF!,3,FALSE),"")</f>
        <v/>
      </c>
      <c r="E55" s="58" t="str">
        <f>IFERROR(VLOOKUP($A55,#REF!,5,FALSE),"")</f>
        <v/>
      </c>
      <c r="F55" s="15" t="s">
        <v>13</v>
      </c>
      <c r="G55" s="28" t="s">
        <v>14</v>
      </c>
      <c r="H55" s="19"/>
      <c r="I55" s="15"/>
      <c r="J55" s="47" t="s">
        <v>72</v>
      </c>
      <c r="K55" s="47"/>
      <c r="L55" s="48"/>
      <c r="M55" s="104">
        <v>4000</v>
      </c>
      <c r="N55" s="48"/>
      <c r="O55" s="48"/>
      <c r="P55" s="48"/>
      <c r="Q55" s="48"/>
      <c r="R55" s="14" t="b">
        <v>1</v>
      </c>
    </row>
    <row r="56" spans="1:19" x14ac:dyDescent="0.3">
      <c r="A56" s="26">
        <v>1850</v>
      </c>
      <c r="B56" s="41" t="e" cm="1">
        <f t="array" ref="B56">_xlfn.SWITCH(IFERROR(VLOOKUP($A56,#REF!,2,FALSE),""),#REF!,#REF!,#REF!,#REF!,#REF!,#REF!,#REF!,#REF!,#REF!,#REF!,"")</f>
        <v>#REF!</v>
      </c>
      <c r="C56" s="45" t="s">
        <v>42</v>
      </c>
      <c r="D56" s="43" t="str">
        <f>IFERROR(VLOOKUP($A56,#REF!,3,FALSE),"")</f>
        <v/>
      </c>
      <c r="E56" s="59" t="str">
        <f>IFERROR(VLOOKUP($A56,#REF!,5,FALSE),"")</f>
        <v/>
      </c>
      <c r="F56" s="27" t="s">
        <v>18</v>
      </c>
      <c r="G56" s="34" t="s">
        <v>19</v>
      </c>
      <c r="H56" s="28" t="s">
        <v>15</v>
      </c>
      <c r="I56" s="33"/>
      <c r="J56" s="50" t="s">
        <v>30</v>
      </c>
      <c r="K56" s="50"/>
      <c r="L56" s="30"/>
      <c r="M56" s="51"/>
      <c r="N56" s="51"/>
      <c r="O56" s="51">
        <v>10000</v>
      </c>
      <c r="P56" s="51"/>
      <c r="Q56" s="51"/>
      <c r="R56" s="14" t="b">
        <v>1</v>
      </c>
    </row>
    <row r="57" spans="1:19" x14ac:dyDescent="0.3">
      <c r="A57" s="40">
        <v>1950</v>
      </c>
      <c r="B57" s="41" t="e" cm="1">
        <f t="array" ref="B57">_xlfn.SWITCH(IFERROR(VLOOKUP($A57,#REF!,2,FALSE),""),#REF!,#REF!,#REF!,#REF!,#REF!,#REF!,#REF!,#REF!,#REF!,#REF!,"")</f>
        <v>#REF!</v>
      </c>
      <c r="C57" s="42" t="s">
        <v>106</v>
      </c>
      <c r="D57" s="43" t="str">
        <f>IFERROR(VLOOKUP($A57,#REF!,3,FALSE),"")</f>
        <v/>
      </c>
      <c r="E57" s="59" t="str">
        <f>IFERROR(VLOOKUP($A57,#REF!,5,FALSE),"")</f>
        <v/>
      </c>
      <c r="F57" s="27" t="s">
        <v>18</v>
      </c>
      <c r="G57" s="27" t="s">
        <v>19</v>
      </c>
      <c r="H57" s="28" t="s">
        <v>15</v>
      </c>
      <c r="I57" s="28"/>
      <c r="J57" s="50" t="s">
        <v>26</v>
      </c>
      <c r="K57" s="73" t="s">
        <v>151</v>
      </c>
      <c r="L57" s="30"/>
      <c r="M57" s="63">
        <v>5000</v>
      </c>
      <c r="N57" s="51"/>
      <c r="O57" s="51"/>
      <c r="P57" s="51"/>
      <c r="Q57" s="51"/>
      <c r="R57" s="14" t="b">
        <v>1</v>
      </c>
    </row>
    <row r="58" spans="1:19" x14ac:dyDescent="0.3">
      <c r="A58" s="26">
        <v>1950</v>
      </c>
      <c r="B58" s="41" t="e" cm="1">
        <f t="array" ref="B58">_xlfn.SWITCH(IFERROR(VLOOKUP($A58,#REF!,2,FALSE),""),#REF!,#REF!,#REF!,#REF!,#REF!,#REF!,#REF!,#REF!,#REF!,#REF!,"")</f>
        <v>#REF!</v>
      </c>
      <c r="C58" s="42" t="s">
        <v>106</v>
      </c>
      <c r="D58" s="43" t="str">
        <f>IFERROR(VLOOKUP($A58,#REF!,3,FALSE),"")</f>
        <v/>
      </c>
      <c r="E58" s="59" t="str">
        <f>IFERROR(VLOOKUP($A58,#REF!,5,FALSE),"")</f>
        <v/>
      </c>
      <c r="F58" s="27" t="s">
        <v>18</v>
      </c>
      <c r="G58" s="27" t="s">
        <v>19</v>
      </c>
      <c r="H58" s="28" t="s">
        <v>15</v>
      </c>
      <c r="I58" s="26"/>
      <c r="J58" s="50" t="s">
        <v>135</v>
      </c>
      <c r="K58" s="69"/>
      <c r="L58" s="30"/>
      <c r="M58" s="51"/>
      <c r="N58" s="51"/>
      <c r="O58" s="51">
        <v>20000</v>
      </c>
      <c r="P58" s="51"/>
      <c r="Q58" s="51"/>
      <c r="R58" s="14" t="b">
        <v>1</v>
      </c>
    </row>
    <row r="59" spans="1:19" x14ac:dyDescent="0.3">
      <c r="A59" s="40">
        <v>1950</v>
      </c>
      <c r="B59" s="82" t="e" cm="1">
        <f t="array" ref="B59">_xlfn.SWITCH(IFERROR(VLOOKUP($A59,#REF!,2,FALSE),""),#REF!,#REF!,#REF!,#REF!,#REF!,#REF!,#REF!,#REF!,#REF!,#REF!,"")</f>
        <v>#REF!</v>
      </c>
      <c r="C59" s="42" t="s">
        <v>106</v>
      </c>
      <c r="D59" s="43" t="str">
        <f>IFERROR(VLOOKUP($A59,#REF!,3,FALSE),"")</f>
        <v/>
      </c>
      <c r="E59" s="59" t="str">
        <f>IFERROR(VLOOKUP($A59,#REF!,5,FALSE),"")</f>
        <v/>
      </c>
      <c r="F59" s="27" t="s">
        <v>1</v>
      </c>
      <c r="G59" s="27" t="s">
        <v>35</v>
      </c>
      <c r="H59" s="28"/>
      <c r="I59" s="28"/>
      <c r="J59" s="29" t="s">
        <v>146</v>
      </c>
      <c r="K59" s="29"/>
      <c r="L59" s="30"/>
      <c r="M59" s="51"/>
      <c r="N59" s="51"/>
      <c r="O59" s="51"/>
      <c r="P59" s="51"/>
      <c r="Q59" s="51">
        <v>13000</v>
      </c>
      <c r="R59" s="14" t="b">
        <v>1</v>
      </c>
    </row>
    <row r="60" spans="1:19" x14ac:dyDescent="0.3">
      <c r="A60" s="26">
        <v>1976</v>
      </c>
      <c r="B60" s="41" t="e" cm="1">
        <f t="array" ref="B60">_xlfn.SWITCH(IFERROR(VLOOKUP($A60,#REF!,2,FALSE),""),#REF!,#REF!,#REF!,#REF!,#REF!,#REF!,#REF!,#REF!,#REF!,#REF!,"")</f>
        <v>#REF!</v>
      </c>
      <c r="C60" s="42" t="s">
        <v>168</v>
      </c>
      <c r="D60" s="43" t="str">
        <f>IFERROR(VLOOKUP($A60,#REF!,3,FALSE),"")</f>
        <v/>
      </c>
      <c r="E60" s="59" t="str">
        <f>IFERROR(VLOOKUP($A60,#REF!,5,FALSE),"")</f>
        <v/>
      </c>
      <c r="F60" s="27" t="s">
        <v>1</v>
      </c>
      <c r="G60" s="27" t="s">
        <v>129</v>
      </c>
      <c r="H60" s="28"/>
      <c r="I60" s="26"/>
      <c r="J60" s="50" t="s">
        <v>85</v>
      </c>
      <c r="K60" s="50"/>
      <c r="L60" s="30"/>
      <c r="M60" s="63">
        <v>7000</v>
      </c>
      <c r="N60" s="51"/>
      <c r="O60" s="51"/>
      <c r="P60" s="51"/>
      <c r="Q60" s="51"/>
      <c r="R60" s="14" t="b">
        <v>1</v>
      </c>
    </row>
    <row r="61" spans="1:19" x14ac:dyDescent="0.3">
      <c r="A61" s="26">
        <v>1976</v>
      </c>
      <c r="B61" s="41" t="e" cm="1">
        <f t="array" ref="B61">_xlfn.SWITCH(IFERROR(VLOOKUP($A61,#REF!,2,FALSE),""),#REF!,#REF!,#REF!,#REF!,#REF!,#REF!,#REF!,#REF!,#REF!,#REF!,"")</f>
        <v>#REF!</v>
      </c>
      <c r="C61" s="42" t="s">
        <v>168</v>
      </c>
      <c r="D61" s="43" t="str">
        <f>IFERROR(VLOOKUP($A61,#REF!,3,FALSE),"")</f>
        <v/>
      </c>
      <c r="E61" s="59" t="str">
        <f>IFERROR(VLOOKUP($A61,#REF!,5,FALSE),"")</f>
        <v/>
      </c>
      <c r="F61" s="27" t="s">
        <v>13</v>
      </c>
      <c r="G61" s="27" t="s">
        <v>24</v>
      </c>
      <c r="H61" s="28"/>
      <c r="I61" s="26"/>
      <c r="J61" s="50" t="s">
        <v>159</v>
      </c>
      <c r="K61" s="50"/>
      <c r="L61" s="30"/>
      <c r="M61" s="51"/>
      <c r="N61" s="51"/>
      <c r="O61" s="51">
        <v>10000</v>
      </c>
      <c r="P61" s="51"/>
      <c r="Q61" s="51">
        <v>15000</v>
      </c>
      <c r="R61" s="14" t="b">
        <v>1</v>
      </c>
    </row>
    <row r="62" spans="1:19" x14ac:dyDescent="0.3">
      <c r="A62" s="40">
        <v>1976</v>
      </c>
      <c r="B62" s="41" t="e" cm="1">
        <f t="array" ref="B62">_xlfn.SWITCH(IFERROR(VLOOKUP($A62,#REF!,2,FALSE),""),#REF!,#REF!,#REF!,#REF!,#REF!,#REF!,#REF!,#REF!,#REF!,#REF!,"")</f>
        <v>#REF!</v>
      </c>
      <c r="C62" s="42" t="s">
        <v>169</v>
      </c>
      <c r="D62" s="43" t="str">
        <f>IFERROR(VLOOKUP($A62,#REF!,3,FALSE),"")</f>
        <v/>
      </c>
      <c r="E62" s="59" t="str">
        <f>IFERROR(VLOOKUP($A62,#REF!,5,FALSE),"")</f>
        <v/>
      </c>
      <c r="F62" s="26" t="s">
        <v>18</v>
      </c>
      <c r="G62" s="26" t="s">
        <v>58</v>
      </c>
      <c r="H62" s="28"/>
      <c r="I62" s="26"/>
      <c r="J62" s="50" t="s">
        <v>142</v>
      </c>
      <c r="K62" s="50"/>
      <c r="L62" s="30"/>
      <c r="M62" s="63">
        <v>2000</v>
      </c>
      <c r="N62" s="51"/>
      <c r="O62" s="51"/>
      <c r="P62" s="51"/>
      <c r="Q62" s="51"/>
      <c r="R62" s="14" t="b">
        <v>1</v>
      </c>
    </row>
    <row r="63" spans="1:19" x14ac:dyDescent="0.3">
      <c r="A63" s="40">
        <v>1976</v>
      </c>
      <c r="B63" s="41" t="e" cm="1">
        <f t="array" ref="B63">_xlfn.SWITCH(IFERROR(VLOOKUP($A63,#REF!,2,FALSE),""),#REF!,#REF!,#REF!,#REF!,#REF!,#REF!,#REF!,#REF!,#REF!,#REF!,"")</f>
        <v>#REF!</v>
      </c>
      <c r="C63" s="42" t="s">
        <v>169</v>
      </c>
      <c r="D63" s="43" t="str">
        <f>IFERROR(VLOOKUP($A63,#REF!,3,FALSE),"")</f>
        <v/>
      </c>
      <c r="E63" s="59" t="str">
        <f>IFERROR(VLOOKUP($A63,#REF!,5,FALSE),"")</f>
        <v/>
      </c>
      <c r="F63" s="26" t="s">
        <v>1</v>
      </c>
      <c r="G63" s="8" t="s">
        <v>17</v>
      </c>
      <c r="H63" s="28" t="s">
        <v>15</v>
      </c>
      <c r="I63" s="28"/>
      <c r="J63" s="29" t="s">
        <v>170</v>
      </c>
      <c r="K63" s="29" t="s">
        <v>160</v>
      </c>
      <c r="L63" s="30"/>
      <c r="M63" s="30">
        <v>3500</v>
      </c>
      <c r="N63" s="30"/>
      <c r="O63" s="30"/>
      <c r="P63" s="30"/>
      <c r="Q63" s="30"/>
      <c r="R63" s="14" t="b">
        <v>1</v>
      </c>
    </row>
    <row r="64" spans="1:19" x14ac:dyDescent="0.3">
      <c r="A64" s="40">
        <v>1976</v>
      </c>
      <c r="B64" s="41" t="e" cm="1">
        <f t="array" ref="B64">_xlfn.SWITCH(IFERROR(VLOOKUP($A64,#REF!,2,FALSE),""),#REF!,#REF!,#REF!,#REF!,#REF!,#REF!,#REF!,#REF!,#REF!,#REF!,"")</f>
        <v>#REF!</v>
      </c>
      <c r="C64" s="42" t="s">
        <v>168</v>
      </c>
      <c r="D64" s="43" t="str">
        <f>IFERROR(VLOOKUP($A64,#REF!,3,FALSE),"")</f>
        <v/>
      </c>
      <c r="E64" s="59" t="str">
        <f>IFERROR(VLOOKUP($A64,#REF!,5,FALSE),"")</f>
        <v/>
      </c>
      <c r="F64" s="26" t="s">
        <v>1</v>
      </c>
      <c r="G64" s="28" t="s">
        <v>40</v>
      </c>
      <c r="H64" s="28"/>
      <c r="I64" s="28"/>
      <c r="J64" s="29" t="s">
        <v>88</v>
      </c>
      <c r="K64" s="29"/>
      <c r="L64" s="30"/>
      <c r="M64" s="30">
        <v>1500</v>
      </c>
      <c r="N64" s="30"/>
      <c r="O64" s="30"/>
      <c r="P64" s="30"/>
      <c r="Q64" s="30"/>
      <c r="R64" s="14" t="b">
        <v>1</v>
      </c>
    </row>
    <row r="65" spans="1:18" x14ac:dyDescent="0.3">
      <c r="A65" s="99">
        <v>1976</v>
      </c>
      <c r="B65" s="92" t="e" cm="1">
        <f t="array" ref="B65">_xlfn.SWITCH(IFERROR(VLOOKUP($A65,#REF!,2,FALSE),""),#REF!,#REF!,#REF!,#REF!,#REF!,#REF!,#REF!,#REF!,#REF!,#REF!,"")</f>
        <v>#REF!</v>
      </c>
      <c r="C65" s="100" t="s">
        <v>168</v>
      </c>
      <c r="D65" s="94" t="str">
        <f>IFERROR(VLOOKUP($A65,#REF!,3,FALSE),"")</f>
        <v/>
      </c>
      <c r="E65" s="95" t="str">
        <f>IFERROR(VLOOKUP($A65,#REF!,5,FALSE),"")</f>
        <v/>
      </c>
      <c r="F65" s="97" t="s">
        <v>13</v>
      </c>
      <c r="G65" s="97" t="s">
        <v>24</v>
      </c>
      <c r="H65" s="28" t="s">
        <v>15</v>
      </c>
      <c r="I65" s="91"/>
      <c r="J65" s="98" t="s">
        <v>25</v>
      </c>
      <c r="K65" s="29"/>
      <c r="L65" s="30"/>
      <c r="M65" s="30">
        <v>5000</v>
      </c>
      <c r="N65" s="30"/>
      <c r="O65" s="30"/>
      <c r="P65" s="30"/>
      <c r="Q65" s="30"/>
      <c r="R65" s="14" t="b">
        <v>1</v>
      </c>
    </row>
    <row r="66" spans="1:18" x14ac:dyDescent="0.3">
      <c r="A66" s="91">
        <v>2021</v>
      </c>
      <c r="B66" s="92" t="e" cm="1">
        <f t="array" ref="B66">_xlfn.SWITCH(IFERROR(VLOOKUP($A66,#REF!,2,FALSE),""),#REF!,#REF!,#REF!,#REF!,#REF!,#REF!,#REF!,#REF!,#REF!,#REF!,"")</f>
        <v>#REF!</v>
      </c>
      <c r="C66" s="93" t="s">
        <v>82</v>
      </c>
      <c r="D66" s="94" t="str">
        <f>IFERROR(VLOOKUP($A66,#REF!,3,FALSE),"")</f>
        <v/>
      </c>
      <c r="E66" s="95" t="str">
        <f>IFERROR(VLOOKUP($A66,#REF!,5,FALSE),"")</f>
        <v/>
      </c>
      <c r="F66" s="91" t="s">
        <v>1</v>
      </c>
      <c r="G66" s="91" t="s">
        <v>44</v>
      </c>
      <c r="H66" s="28" t="s">
        <v>15</v>
      </c>
      <c r="I66" s="91"/>
      <c r="J66" s="96" t="s">
        <v>51</v>
      </c>
      <c r="K66" s="32"/>
      <c r="L66" s="30"/>
      <c r="M66" s="30">
        <v>15000</v>
      </c>
      <c r="N66" s="30"/>
      <c r="O66" s="30"/>
      <c r="P66" s="30"/>
      <c r="Q66" s="30"/>
      <c r="R66" s="14" t="b">
        <v>1</v>
      </c>
    </row>
    <row r="67" spans="1:18" x14ac:dyDescent="0.3">
      <c r="A67" s="26">
        <v>2021</v>
      </c>
      <c r="B67" s="41" t="e" cm="1">
        <f t="array" ref="B67">_xlfn.SWITCH(IFERROR(VLOOKUP($A67,#REF!,2,FALSE),""),#REF!,#REF!,#REF!,#REF!,#REF!,#REF!,#REF!,#REF!,#REF!,#REF!,"")</f>
        <v>#REF!</v>
      </c>
      <c r="C67" s="42" t="s">
        <v>82</v>
      </c>
      <c r="D67" s="43" t="str">
        <f>IFERROR(VLOOKUP($A67,#REF!,3,FALSE),"")</f>
        <v/>
      </c>
      <c r="E67" s="59" t="str">
        <f>IFERROR(VLOOKUP($A67,#REF!,5,FALSE),"")</f>
        <v/>
      </c>
      <c r="F67" s="26" t="s">
        <v>1</v>
      </c>
      <c r="G67" s="26" t="s">
        <v>35</v>
      </c>
      <c r="H67" s="28" t="s">
        <v>15</v>
      </c>
      <c r="I67" s="26"/>
      <c r="J67" s="32" t="s">
        <v>83</v>
      </c>
      <c r="K67" s="32"/>
      <c r="L67" s="30"/>
      <c r="M67" s="30"/>
      <c r="N67" s="30">
        <v>8000</v>
      </c>
      <c r="O67" s="30"/>
      <c r="P67" s="30"/>
      <c r="Q67" s="30">
        <v>10000</v>
      </c>
      <c r="R67" s="14" t="b">
        <v>1</v>
      </c>
    </row>
    <row r="68" spans="1:18" x14ac:dyDescent="0.3">
      <c r="A68" s="91">
        <v>2021</v>
      </c>
      <c r="B68" s="92" t="e" cm="1">
        <f t="array" ref="B68">_xlfn.SWITCH(IFERROR(VLOOKUP($A68,#REF!,2,FALSE),""),#REF!,#REF!,#REF!,#REF!,#REF!,#REF!,#REF!,#REF!,#REF!,#REF!,"")</f>
        <v>#REF!</v>
      </c>
      <c r="C68" s="93" t="s">
        <v>82</v>
      </c>
      <c r="D68" s="94" t="str">
        <f>IFERROR(VLOOKUP($A68,#REF!,3,FALSE),"")</f>
        <v/>
      </c>
      <c r="E68" s="95" t="str">
        <f>IFERROR(VLOOKUP($A68,#REF!,5,FALSE),"")</f>
        <v/>
      </c>
      <c r="F68" s="91" t="s">
        <v>13</v>
      </c>
      <c r="G68" s="97" t="s">
        <v>24</v>
      </c>
      <c r="H68" s="28" t="s">
        <v>15</v>
      </c>
      <c r="I68" s="91"/>
      <c r="J68" s="98" t="s">
        <v>30</v>
      </c>
      <c r="K68" s="29"/>
      <c r="L68" s="30"/>
      <c r="M68" s="30">
        <v>15000</v>
      </c>
      <c r="N68" s="30"/>
      <c r="O68" s="30"/>
      <c r="P68" s="30"/>
      <c r="Q68" s="30"/>
      <c r="R68" s="14" t="b">
        <v>1</v>
      </c>
    </row>
    <row r="69" spans="1:18" x14ac:dyDescent="0.3">
      <c r="A69" s="40">
        <v>2032</v>
      </c>
      <c r="B69" s="41" t="e" cm="1">
        <f t="array" ref="B69">_xlfn.SWITCH(IFERROR(VLOOKUP($A69,#REF!,2,FALSE),""),#REF!,#REF!,#REF!,#REF!,#REF!,#REF!,#REF!,#REF!,#REF!,#REF!,"")</f>
        <v>#REF!</v>
      </c>
      <c r="C69" s="42" t="s">
        <v>38</v>
      </c>
      <c r="D69" s="43" t="str">
        <f>IFERROR(VLOOKUP($A69,#REF!,3,FALSE),"")</f>
        <v/>
      </c>
      <c r="E69" s="59" t="str">
        <f>IFERROR(VLOOKUP($A69,#REF!,5,FALSE),"")</f>
        <v/>
      </c>
      <c r="F69" s="27" t="s">
        <v>13</v>
      </c>
      <c r="G69" s="27" t="s">
        <v>24</v>
      </c>
      <c r="H69" s="28"/>
      <c r="I69" s="26"/>
      <c r="J69" s="32" t="s">
        <v>30</v>
      </c>
      <c r="K69" s="32"/>
      <c r="L69" s="30"/>
      <c r="M69" s="30"/>
      <c r="N69" s="30">
        <v>13000</v>
      </c>
      <c r="O69" s="30"/>
      <c r="P69" s="30"/>
      <c r="Q69" s="30"/>
      <c r="R69" s="14" t="b">
        <v>1</v>
      </c>
    </row>
    <row r="70" spans="1:18" x14ac:dyDescent="0.3">
      <c r="A70" s="40">
        <v>2032</v>
      </c>
      <c r="B70" s="41" t="e" cm="1">
        <f t="array" ref="B70">_xlfn.SWITCH(IFERROR(VLOOKUP($A70,#REF!,2,FALSE),""),#REF!,#REF!,#REF!,#REF!,#REF!,#REF!,#REF!,#REF!,#REF!,#REF!,"")</f>
        <v>#REF!</v>
      </c>
      <c r="C70" s="42" t="s">
        <v>38</v>
      </c>
      <c r="D70" s="43" t="str">
        <f>IFERROR(VLOOKUP($A70,#REF!,3,FALSE),"")</f>
        <v/>
      </c>
      <c r="E70" s="59" t="str">
        <f>IFERROR(VLOOKUP($A70,#REF!,5,FALSE),"")</f>
        <v/>
      </c>
      <c r="F70" s="27" t="s">
        <v>1</v>
      </c>
      <c r="G70" s="27" t="s">
        <v>129</v>
      </c>
      <c r="H70" s="28" t="s">
        <v>15</v>
      </c>
      <c r="I70" s="28"/>
      <c r="J70" s="29" t="s">
        <v>39</v>
      </c>
      <c r="K70" s="29"/>
      <c r="L70" s="30"/>
      <c r="M70" s="30"/>
      <c r="N70" s="30"/>
      <c r="O70" s="30"/>
      <c r="P70" s="30">
        <v>5000</v>
      </c>
      <c r="Q70" s="30"/>
      <c r="R70" s="14" t="b">
        <v>1</v>
      </c>
    </row>
    <row r="71" spans="1:18" x14ac:dyDescent="0.3">
      <c r="A71" s="26">
        <v>2067</v>
      </c>
      <c r="B71" s="41" t="e" cm="1">
        <f t="array" ref="B71">_xlfn.SWITCH(IFERROR(VLOOKUP($A71,#REF!,2,FALSE),""),#REF!,#REF!,#REF!,#REF!,#REF!,#REF!,#REF!,#REF!,#REF!,#REF!,"")</f>
        <v>#REF!</v>
      </c>
      <c r="C71" s="44" t="s">
        <v>121</v>
      </c>
      <c r="D71" s="43" t="str">
        <f>IFERROR(VLOOKUP($A71,#REF!,3,FALSE),"")</f>
        <v/>
      </c>
      <c r="E71" s="59" t="str">
        <f>IFERROR(VLOOKUP($A71,#REF!,5,FALSE),"")</f>
        <v/>
      </c>
      <c r="F71" s="27" t="s">
        <v>13</v>
      </c>
      <c r="G71" s="27" t="s">
        <v>14</v>
      </c>
      <c r="H71" s="28" t="s">
        <v>15</v>
      </c>
      <c r="I71" s="26"/>
      <c r="J71" s="62" t="s">
        <v>31</v>
      </c>
      <c r="K71" s="62"/>
      <c r="L71" s="30"/>
      <c r="M71" s="63">
        <v>5000</v>
      </c>
      <c r="N71" s="30"/>
      <c r="O71" s="30"/>
      <c r="P71" s="30"/>
      <c r="Q71" s="30"/>
      <c r="R71" s="14" t="b">
        <v>1</v>
      </c>
    </row>
    <row r="72" spans="1:18" x14ac:dyDescent="0.3">
      <c r="A72" s="40">
        <v>2067</v>
      </c>
      <c r="B72" s="41" t="e" cm="1">
        <f t="array" ref="B72">_xlfn.SWITCH(IFERROR(VLOOKUP($A72,#REF!,2,FALSE),""),#REF!,#REF!,#REF!,#REF!,#REF!,#REF!,#REF!,#REF!,#REF!,#REF!,"")</f>
        <v>#REF!</v>
      </c>
      <c r="C72" s="44" t="s">
        <v>121</v>
      </c>
      <c r="D72" s="43" t="str">
        <f>IFERROR(VLOOKUP($A72,#REF!,3,FALSE),"")</f>
        <v/>
      </c>
      <c r="E72" s="59" t="str">
        <f>IFERROR(VLOOKUP($A72,#REF!,5,FALSE),"")</f>
        <v/>
      </c>
      <c r="F72" s="27" t="s">
        <v>18</v>
      </c>
      <c r="G72" s="28" t="s">
        <v>47</v>
      </c>
      <c r="H72" s="28" t="s">
        <v>15</v>
      </c>
      <c r="I72" s="28"/>
      <c r="J72" s="50" t="s">
        <v>55</v>
      </c>
      <c r="K72" s="50"/>
      <c r="L72" s="30"/>
      <c r="M72" s="51"/>
      <c r="N72" s="51"/>
      <c r="O72" s="51"/>
      <c r="P72" s="51">
        <v>10000</v>
      </c>
      <c r="Q72" s="51"/>
      <c r="R72" s="14" t="b">
        <v>1</v>
      </c>
    </row>
    <row r="73" spans="1:18" x14ac:dyDescent="0.3">
      <c r="A73" s="26">
        <v>2072</v>
      </c>
      <c r="B73" s="41" t="e" cm="1">
        <f t="array" ref="B73">_xlfn.SWITCH(IFERROR(VLOOKUP($A73,#REF!,2,FALSE),""),#REF!,#REF!,#REF!,#REF!,#REF!,#REF!,#REF!,#REF!,#REF!,#REF!,"")</f>
        <v>#REF!</v>
      </c>
      <c r="C73" s="42" t="s">
        <v>122</v>
      </c>
      <c r="D73" s="43" t="str">
        <f>IFERROR(VLOOKUP($A73,#REF!,3,FALSE),"")</f>
        <v/>
      </c>
      <c r="E73" s="59" t="str">
        <f>IFERROR(VLOOKUP($A73,#REF!,5,FALSE),"")</f>
        <v/>
      </c>
      <c r="F73" s="26" t="s">
        <v>13</v>
      </c>
      <c r="G73" s="26" t="s">
        <v>32</v>
      </c>
      <c r="H73" s="28" t="s">
        <v>15</v>
      </c>
      <c r="I73" s="26"/>
      <c r="J73" s="32" t="s">
        <v>30</v>
      </c>
      <c r="K73" s="32"/>
      <c r="L73" s="30"/>
      <c r="M73" s="30"/>
      <c r="N73" s="30">
        <v>15000</v>
      </c>
      <c r="O73" s="30">
        <v>10000</v>
      </c>
      <c r="P73" s="30"/>
      <c r="Q73" s="30">
        <v>10000</v>
      </c>
      <c r="R73" s="14" t="b">
        <v>1</v>
      </c>
    </row>
    <row r="74" spans="1:18" x14ac:dyDescent="0.3">
      <c r="A74" s="40">
        <v>2093</v>
      </c>
      <c r="B74" s="41" t="e" cm="1">
        <f t="array" ref="B74">_xlfn.SWITCH(IFERROR(VLOOKUP($A74,#REF!,2,FALSE),""),#REF!,#REF!,#REF!,#REF!,#REF!,#REF!,#REF!,#REF!,#REF!,#REF!,"")</f>
        <v>#REF!</v>
      </c>
      <c r="C74" s="42" t="s">
        <v>123</v>
      </c>
      <c r="D74" s="43" t="str">
        <f>IFERROR(VLOOKUP($A74,#REF!,3,FALSE),"")</f>
        <v/>
      </c>
      <c r="E74" s="59" t="str">
        <f>IFERROR(VLOOKUP($A74,#REF!,5,FALSE),"")</f>
        <v/>
      </c>
      <c r="F74" s="26" t="s">
        <v>13</v>
      </c>
      <c r="G74" s="26" t="s">
        <v>32</v>
      </c>
      <c r="H74" s="28" t="s">
        <v>15</v>
      </c>
      <c r="I74" s="28"/>
      <c r="J74" s="50" t="s">
        <v>30</v>
      </c>
      <c r="K74" s="50"/>
      <c r="L74" s="30"/>
      <c r="M74" s="51"/>
      <c r="N74" s="51"/>
      <c r="O74" s="51"/>
      <c r="P74" s="51"/>
      <c r="Q74" s="51"/>
      <c r="R74" s="14" t="b">
        <v>1</v>
      </c>
    </row>
    <row r="75" spans="1:18" x14ac:dyDescent="0.3">
      <c r="A75" s="26">
        <v>2093</v>
      </c>
      <c r="B75" s="41" t="e" cm="1">
        <f t="array" ref="B75">_xlfn.SWITCH(IFERROR(VLOOKUP($A75,#REF!,2,FALSE),""),#REF!,#REF!,#REF!,#REF!,#REF!,#REF!,#REF!,#REF!,#REF!,#REF!,"")</f>
        <v>#REF!</v>
      </c>
      <c r="C75" s="42" t="s">
        <v>123</v>
      </c>
      <c r="D75" s="43" t="str">
        <f>IFERROR(VLOOKUP($A75,#REF!,3,FALSE),"")</f>
        <v/>
      </c>
      <c r="E75" s="59" t="str">
        <f>IFERROR(VLOOKUP($A75,#REF!,5,FALSE),"")</f>
        <v/>
      </c>
      <c r="F75" s="26" t="s">
        <v>13</v>
      </c>
      <c r="G75" s="26" t="s">
        <v>32</v>
      </c>
      <c r="H75" s="28" t="s">
        <v>15</v>
      </c>
      <c r="I75" s="26"/>
      <c r="J75" s="32" t="s">
        <v>64</v>
      </c>
      <c r="K75" s="32"/>
      <c r="L75" s="30"/>
      <c r="M75" s="30"/>
      <c r="N75" s="80">
        <v>10000</v>
      </c>
      <c r="O75" s="30"/>
      <c r="P75" s="30"/>
      <c r="Q75" s="31"/>
      <c r="R75" s="14" t="b">
        <v>1</v>
      </c>
    </row>
    <row r="76" spans="1:18" x14ac:dyDescent="0.3">
      <c r="A76" s="26">
        <v>2118</v>
      </c>
      <c r="B76" s="41" t="e" cm="1">
        <f t="array" ref="B76">_xlfn.SWITCH(IFERROR(VLOOKUP($A76,#REF!,2,FALSE),""),#REF!,#REF!,#REF!,#REF!,#REF!,#REF!,#REF!,#REF!,#REF!,#REF!,"")</f>
        <v>#REF!</v>
      </c>
      <c r="C76" s="42" t="s">
        <v>124</v>
      </c>
      <c r="D76" s="43" t="str">
        <f>IFERROR(VLOOKUP($A76,#REF!,3,FALSE),"")</f>
        <v/>
      </c>
      <c r="E76" s="59" t="str">
        <f>IFERROR(VLOOKUP($A76,#REF!,5,FALSE),"")</f>
        <v/>
      </c>
      <c r="F76" s="27" t="s">
        <v>18</v>
      </c>
      <c r="G76" s="27" t="s">
        <v>58</v>
      </c>
      <c r="H76" s="26"/>
      <c r="I76" s="50"/>
      <c r="J76" s="32" t="s">
        <v>76</v>
      </c>
      <c r="K76" s="32"/>
      <c r="L76" s="30"/>
      <c r="M76" s="30"/>
      <c r="N76" s="30">
        <v>10000</v>
      </c>
      <c r="O76" s="30"/>
      <c r="P76" s="30"/>
      <c r="Q76" s="31"/>
      <c r="R76" s="14" t="b">
        <v>1</v>
      </c>
    </row>
    <row r="77" spans="1:18" x14ac:dyDescent="0.3">
      <c r="A77" s="26">
        <v>2118</v>
      </c>
      <c r="B77" s="41" t="e" cm="1">
        <f t="array" ref="B77">_xlfn.SWITCH(IFERROR(VLOOKUP($A77,#REF!,2,FALSE),""),#REF!,#REF!,#REF!,#REF!,#REF!,#REF!,#REF!,#REF!,#REF!,#REF!,"")</f>
        <v>#REF!</v>
      </c>
      <c r="C77" s="42" t="s">
        <v>124</v>
      </c>
      <c r="D77" s="43" t="str">
        <f>IFERROR(VLOOKUP($A77,#REF!,3,FALSE),"")</f>
        <v/>
      </c>
      <c r="E77" s="59" t="str">
        <f>IFERROR(VLOOKUP($A77,#REF!,5,FALSE),"")</f>
        <v/>
      </c>
      <c r="F77" s="26" t="s">
        <v>1</v>
      </c>
      <c r="G77" s="26" t="s">
        <v>17</v>
      </c>
      <c r="H77" s="28" t="s">
        <v>15</v>
      </c>
      <c r="I77" s="26"/>
      <c r="J77" s="32" t="s">
        <v>50</v>
      </c>
      <c r="K77" s="32"/>
      <c r="L77" s="30"/>
      <c r="M77" s="30"/>
      <c r="N77" s="30">
        <v>10000</v>
      </c>
      <c r="O77" s="30">
        <v>5000</v>
      </c>
      <c r="P77" s="30"/>
      <c r="Q77" s="30"/>
      <c r="R77" s="14" t="b">
        <v>1</v>
      </c>
    </row>
    <row r="78" spans="1:18" x14ac:dyDescent="0.3">
      <c r="A78" s="40">
        <v>2118</v>
      </c>
      <c r="B78" s="41" t="e" cm="1">
        <f t="array" ref="B78">_xlfn.SWITCH(IFERROR(VLOOKUP($A78,#REF!,2,FALSE),""),#REF!,#REF!,#REF!,#REF!,#REF!,#REF!,#REF!,#REF!,#REF!,#REF!,"")</f>
        <v>#REF!</v>
      </c>
      <c r="C78" s="42" t="s">
        <v>133</v>
      </c>
      <c r="D78" s="43" t="str">
        <f>IFERROR(VLOOKUP($A78,#REF!,3,FALSE),"")</f>
        <v/>
      </c>
      <c r="E78" s="59" t="str">
        <f>IFERROR(VLOOKUP($A78,#REF!,5,FALSE),"")</f>
        <v/>
      </c>
      <c r="F78" s="26" t="s">
        <v>13</v>
      </c>
      <c r="G78" s="27" t="s">
        <v>24</v>
      </c>
      <c r="H78" s="28" t="s">
        <v>15</v>
      </c>
      <c r="I78" s="26"/>
      <c r="J78" s="29" t="s">
        <v>30</v>
      </c>
      <c r="K78" s="29"/>
      <c r="L78" s="30"/>
      <c r="M78" s="30">
        <v>10000</v>
      </c>
      <c r="N78" s="30"/>
      <c r="O78" s="30"/>
      <c r="P78" s="30">
        <v>10000</v>
      </c>
      <c r="Q78" s="30"/>
      <c r="R78" s="14" t="b">
        <v>1</v>
      </c>
    </row>
    <row r="79" spans="1:18" x14ac:dyDescent="0.3">
      <c r="A79" s="40">
        <v>2120</v>
      </c>
      <c r="B79" s="41" t="e" cm="1">
        <f t="array" ref="B79">_xlfn.SWITCH(IFERROR(VLOOKUP($A79,#REF!,2,FALSE),""),#REF!,#REF!,#REF!,#REF!,#REF!,#REF!,#REF!,#REF!,#REF!,#REF!,"")</f>
        <v>#REF!</v>
      </c>
      <c r="C79" s="42" t="s">
        <v>125</v>
      </c>
      <c r="D79" s="43" t="str">
        <f>IFERROR(VLOOKUP($A79,#REF!,3,FALSE),"")</f>
        <v/>
      </c>
      <c r="E79" s="59" t="str">
        <f>IFERROR(VLOOKUP($A79,#REF!,5,FALSE),"")</f>
        <v/>
      </c>
      <c r="F79" s="27" t="s">
        <v>13</v>
      </c>
      <c r="G79" s="28" t="s">
        <v>32</v>
      </c>
      <c r="H79" s="28" t="s">
        <v>15</v>
      </c>
      <c r="I79" s="28"/>
      <c r="J79" s="29" t="s">
        <v>33</v>
      </c>
      <c r="K79" s="29"/>
      <c r="L79" s="30">
        <v>15000</v>
      </c>
      <c r="M79" s="30"/>
      <c r="N79" s="30">
        <v>15000</v>
      </c>
      <c r="O79" s="30"/>
      <c r="P79" s="30">
        <v>10000</v>
      </c>
      <c r="Q79" s="30"/>
      <c r="R79" s="14" t="b">
        <v>1</v>
      </c>
    </row>
    <row r="80" spans="1:18" x14ac:dyDescent="0.3">
      <c r="A80" s="40">
        <v>2120</v>
      </c>
      <c r="B80" s="41" t="e" cm="1">
        <f t="array" ref="B80">_xlfn.SWITCH(IFERROR(VLOOKUP($A80,#REF!,2,FALSE),""),#REF!,#REF!,#REF!,#REF!,#REF!,#REF!,#REF!,#REF!,#REF!,#REF!,"")</f>
        <v>#REF!</v>
      </c>
      <c r="C80" s="42" t="s">
        <v>125</v>
      </c>
      <c r="D80" s="43" t="str">
        <f>IFERROR(VLOOKUP($A80,#REF!,3,FALSE),"")</f>
        <v/>
      </c>
      <c r="E80" s="59" t="str">
        <f>IFERROR(VLOOKUP($A80,#REF!,5,FALSE),"")</f>
        <v/>
      </c>
      <c r="F80" s="27" t="s">
        <v>18</v>
      </c>
      <c r="G80" s="28" t="s">
        <v>134</v>
      </c>
      <c r="H80" s="28" t="s">
        <v>15</v>
      </c>
      <c r="I80" s="28"/>
      <c r="J80" s="29" t="s">
        <v>139</v>
      </c>
      <c r="K80" s="29"/>
      <c r="L80" s="30"/>
      <c r="M80" s="30">
        <v>10000</v>
      </c>
      <c r="N80" s="30"/>
      <c r="O80" s="30"/>
      <c r="P80" s="30"/>
      <c r="Q80" s="30"/>
      <c r="R80" s="14" t="b">
        <v>1</v>
      </c>
    </row>
    <row r="81" spans="1:19" x14ac:dyDescent="0.3">
      <c r="A81" s="26">
        <v>2214</v>
      </c>
      <c r="B81" s="92" t="e" cm="1">
        <f t="array" ref="B81">_xlfn.SWITCH(IFERROR(VLOOKUP($A81,#REF!,2,FALSE),""),#REF!,#REF!,#REF!,#REF!,#REF!,#REF!,#REF!,#REF!,#REF!,#REF!,"")</f>
        <v>#REF!</v>
      </c>
      <c r="C81" s="101" t="s">
        <v>77</v>
      </c>
      <c r="D81" s="94" t="str">
        <f>IFERROR(VLOOKUP($A81,#REF!,3,FALSE),"")</f>
        <v/>
      </c>
      <c r="E81" s="95" t="str">
        <f>IFERROR(VLOOKUP($A81,#REF!,5,FALSE),"")</f>
        <v/>
      </c>
      <c r="F81" s="97" t="s">
        <v>18</v>
      </c>
      <c r="G81" s="97" t="s">
        <v>19</v>
      </c>
      <c r="H81" s="28" t="s">
        <v>15</v>
      </c>
      <c r="I81" s="102"/>
      <c r="J81" s="98" t="s">
        <v>78</v>
      </c>
      <c r="K81" s="68"/>
      <c r="L81" s="30"/>
      <c r="M81" s="30">
        <v>15000</v>
      </c>
      <c r="N81" s="30"/>
      <c r="O81" s="30"/>
      <c r="P81" s="30"/>
      <c r="Q81" s="30"/>
      <c r="R81" s="14" t="b">
        <v>1</v>
      </c>
    </row>
    <row r="82" spans="1:19" x14ac:dyDescent="0.3">
      <c r="A82" s="46">
        <v>2276</v>
      </c>
      <c r="B82" s="16" t="s">
        <v>22</v>
      </c>
      <c r="C82" s="17" t="s">
        <v>165</v>
      </c>
      <c r="D82" s="18" t="str">
        <f>IFERROR(VLOOKUP($A82,#REF!,3,FALSE),"")</f>
        <v/>
      </c>
      <c r="E82" s="58" t="str">
        <f>IFERROR(VLOOKUP($A82,#REF!,5,FALSE),"")</f>
        <v/>
      </c>
      <c r="F82" s="27" t="s">
        <v>1</v>
      </c>
      <c r="G82" s="27" t="s">
        <v>35</v>
      </c>
      <c r="H82" s="28" t="s">
        <v>15</v>
      </c>
      <c r="I82" s="28"/>
      <c r="J82" s="29" t="s">
        <v>81</v>
      </c>
      <c r="K82" s="68" t="s">
        <v>152</v>
      </c>
      <c r="L82" s="48">
        <v>5000</v>
      </c>
      <c r="M82" s="48">
        <v>5000</v>
      </c>
      <c r="N82" s="48" t="s">
        <v>84</v>
      </c>
      <c r="O82" s="48"/>
      <c r="P82" s="48"/>
      <c r="Q82" s="48">
        <v>10000</v>
      </c>
      <c r="R82" s="14" t="b">
        <v>1</v>
      </c>
    </row>
    <row r="83" spans="1:19" x14ac:dyDescent="0.3">
      <c r="A83" s="26">
        <v>2291</v>
      </c>
      <c r="B83" s="41" t="e" cm="1">
        <f t="array" ref="B83">_xlfn.SWITCH(IFERROR(VLOOKUP($A83,#REF!,2,FALSE),""),#REF!,#REF!,#REF!,#REF!,#REF!,#REF!,#REF!,#REF!,#REF!,#REF!,"")</f>
        <v>#REF!</v>
      </c>
      <c r="C83" s="45" t="s">
        <v>172</v>
      </c>
      <c r="D83" s="43" t="str">
        <f>IFERROR(VLOOKUP($A83,#REF!,3,FALSE),"")</f>
        <v/>
      </c>
      <c r="E83" s="59" t="str">
        <f>IFERROR(VLOOKUP($A83,#REF!,5,FALSE),"")</f>
        <v/>
      </c>
      <c r="F83" s="27" t="s">
        <v>1</v>
      </c>
      <c r="G83" s="15" t="s">
        <v>127</v>
      </c>
      <c r="H83" s="19"/>
      <c r="I83" s="19"/>
      <c r="J83" s="55" t="s">
        <v>171</v>
      </c>
      <c r="K83" s="75"/>
      <c r="L83" s="30"/>
      <c r="M83" s="48">
        <v>5000</v>
      </c>
      <c r="N83" s="48"/>
      <c r="O83" s="48"/>
      <c r="P83" s="48"/>
      <c r="Q83" s="48"/>
      <c r="R83" s="14" t="b">
        <v>1</v>
      </c>
    </row>
    <row r="84" spans="1:19" x14ac:dyDescent="0.3">
      <c r="A84" s="26">
        <v>2291</v>
      </c>
      <c r="B84" s="41" t="e" cm="1">
        <f t="array" ref="B84">_xlfn.SWITCH(IFERROR(VLOOKUP($A84,#REF!,2,FALSE),""),#REF!,#REF!,#REF!,#REF!,#REF!,#REF!,#REF!,#REF!,#REF!,#REF!,"")</f>
        <v>#REF!</v>
      </c>
      <c r="C84" s="45" t="s">
        <v>114</v>
      </c>
      <c r="D84" s="43" t="str">
        <f>IFERROR(VLOOKUP($A84,#REF!,3,FALSE),"")</f>
        <v/>
      </c>
      <c r="E84" s="59" t="str">
        <f>IFERROR(VLOOKUP($A84,#REF!,5,FALSE),"")</f>
        <v/>
      </c>
      <c r="F84" s="27" t="s">
        <v>13</v>
      </c>
      <c r="G84" s="27" t="s">
        <v>14</v>
      </c>
      <c r="H84" s="28" t="s">
        <v>15</v>
      </c>
      <c r="I84" s="33"/>
      <c r="J84" s="62" t="s">
        <v>27</v>
      </c>
      <c r="K84" s="62"/>
      <c r="L84" s="30"/>
      <c r="M84" s="63">
        <v>7000</v>
      </c>
      <c r="N84" s="30" t="s">
        <v>80</v>
      </c>
      <c r="O84" s="30" t="s">
        <v>80</v>
      </c>
      <c r="P84" s="30" t="s">
        <v>80</v>
      </c>
      <c r="Q84" s="30"/>
      <c r="R84" s="14" t="b">
        <v>1</v>
      </c>
      <c r="S84" t="s">
        <v>80</v>
      </c>
    </row>
    <row r="85" spans="1:19" x14ac:dyDescent="0.3">
      <c r="A85" s="26">
        <v>2292</v>
      </c>
      <c r="B85" s="41" t="s">
        <v>22</v>
      </c>
      <c r="C85" s="42" t="s">
        <v>113</v>
      </c>
      <c r="D85" s="43" t="s">
        <v>7</v>
      </c>
      <c r="E85" s="59" t="s">
        <v>8</v>
      </c>
      <c r="F85" s="27" t="s">
        <v>1</v>
      </c>
      <c r="G85" s="27" t="s">
        <v>17</v>
      </c>
      <c r="H85" s="28" t="s">
        <v>15</v>
      </c>
      <c r="I85" s="26"/>
      <c r="J85" s="50" t="s">
        <v>90</v>
      </c>
      <c r="K85" s="69"/>
      <c r="L85" s="30"/>
      <c r="M85" s="51"/>
      <c r="N85" s="51">
        <v>20000</v>
      </c>
      <c r="O85" s="48"/>
      <c r="P85" s="48"/>
      <c r="Q85" s="51"/>
      <c r="R85" s="14" t="b">
        <v>1</v>
      </c>
    </row>
    <row r="86" spans="1:19" x14ac:dyDescent="0.3">
      <c r="A86" s="26">
        <v>2292</v>
      </c>
      <c r="B86" s="41" t="e" cm="1">
        <f t="array" ref="B86">_xlfn.SWITCH(IFERROR(VLOOKUP($A86,#REF!,2,FALSE),""),#REF!,#REF!,#REF!,#REF!,#REF!,#REF!,#REF!,#REF!,#REF!,#REF!,"")</f>
        <v>#REF!</v>
      </c>
      <c r="C86" s="42" t="s">
        <v>148</v>
      </c>
      <c r="D86" s="43" t="str">
        <f>IFERROR(VLOOKUP($A86,#REF!,3,FALSE),"")</f>
        <v/>
      </c>
      <c r="E86" s="59" t="str">
        <f>IFERROR(VLOOKUP($A86,#REF!,5,FALSE),"")</f>
        <v/>
      </c>
      <c r="F86" s="27" t="s">
        <v>18</v>
      </c>
      <c r="G86" s="27" t="s">
        <v>58</v>
      </c>
      <c r="H86" s="28" t="s">
        <v>15</v>
      </c>
      <c r="I86" s="26"/>
      <c r="J86" s="50" t="s">
        <v>147</v>
      </c>
      <c r="K86" s="69"/>
      <c r="L86" s="30"/>
      <c r="M86" s="63">
        <v>13000</v>
      </c>
      <c r="N86" s="51"/>
      <c r="O86" s="48" t="s">
        <v>80</v>
      </c>
      <c r="P86" s="48" t="s">
        <v>80</v>
      </c>
      <c r="Q86" s="51"/>
      <c r="R86" s="14" t="b">
        <v>1</v>
      </c>
      <c r="S86" t="s">
        <v>80</v>
      </c>
    </row>
    <row r="87" spans="1:19" x14ac:dyDescent="0.3">
      <c r="A87" s="26">
        <v>2293</v>
      </c>
      <c r="B87" s="41" t="e" cm="1">
        <f t="array" ref="B87">_xlfn.SWITCH(IFERROR(VLOOKUP($A87,#REF!,2,FALSE),""),#REF!,#REF!,#REF!,#REF!,#REF!,#REF!,#REF!,#REF!,#REF!,#REF!,"")</f>
        <v>#REF!</v>
      </c>
      <c r="C87" s="45" t="s">
        <v>112</v>
      </c>
      <c r="D87" s="43" t="str">
        <f>IFERROR(VLOOKUP($A87,#REF!,3,FALSE),"")</f>
        <v/>
      </c>
      <c r="E87" s="59" t="str">
        <f>IFERROR(VLOOKUP($A87,#REF!,5,FALSE),"")</f>
        <v/>
      </c>
      <c r="F87" s="27" t="s">
        <v>1</v>
      </c>
      <c r="G87" s="27" t="s">
        <v>35</v>
      </c>
      <c r="H87" s="28" t="s">
        <v>15</v>
      </c>
      <c r="I87" s="33"/>
      <c r="J87" s="29" t="s">
        <v>75</v>
      </c>
      <c r="K87" s="68" t="s">
        <v>153</v>
      </c>
      <c r="L87" s="30"/>
      <c r="M87" s="30">
        <v>4000</v>
      </c>
      <c r="N87" s="30" t="s">
        <v>80</v>
      </c>
      <c r="O87" s="30" t="s">
        <v>80</v>
      </c>
      <c r="P87" s="30" t="s">
        <v>80</v>
      </c>
      <c r="Q87" s="30"/>
      <c r="R87" s="14" t="b">
        <v>1</v>
      </c>
      <c r="S87" t="s">
        <v>80</v>
      </c>
    </row>
    <row r="88" spans="1:19" x14ac:dyDescent="0.3">
      <c r="A88" s="40">
        <v>2293</v>
      </c>
      <c r="B88" s="41" t="e" cm="1">
        <f t="array" ref="B88">_xlfn.SWITCH(IFERROR(VLOOKUP($A88,#REF!,2,FALSE),""),#REF!,#REF!,#REF!,#REF!,#REF!,#REF!,#REF!,#REF!,#REF!,#REF!,"")</f>
        <v>#REF!</v>
      </c>
      <c r="C88" s="42" t="s">
        <v>155</v>
      </c>
      <c r="D88" s="43" t="str">
        <f>IFERROR(VLOOKUP($A88,#REF!,3,FALSE),"")</f>
        <v/>
      </c>
      <c r="E88" s="59" t="str">
        <f>IFERROR(VLOOKUP($A88,#REF!,5,FALSE),"")</f>
        <v/>
      </c>
      <c r="F88" s="27" t="s">
        <v>13</v>
      </c>
      <c r="G88" s="27" t="s">
        <v>14</v>
      </c>
      <c r="H88" s="28" t="s">
        <v>15</v>
      </c>
      <c r="I88" s="28"/>
      <c r="J88" s="29" t="s">
        <v>74</v>
      </c>
      <c r="K88" s="68"/>
      <c r="L88" s="30"/>
      <c r="M88" s="30">
        <v>15000</v>
      </c>
      <c r="N88" s="30" t="s">
        <v>80</v>
      </c>
      <c r="O88" s="30" t="s">
        <v>80</v>
      </c>
      <c r="P88" s="30" t="s">
        <v>80</v>
      </c>
      <c r="Q88" s="30"/>
      <c r="R88" s="14" t="b">
        <v>1</v>
      </c>
      <c r="S88" t="s">
        <v>80</v>
      </c>
    </row>
    <row r="89" spans="1:19" x14ac:dyDescent="0.3">
      <c r="A89" s="26">
        <v>2293</v>
      </c>
      <c r="B89" s="41" t="e" cm="1">
        <f t="array" ref="B89">_xlfn.SWITCH(IFERROR(VLOOKUP($A89,#REF!,2,FALSE),""),#REF!,#REF!,#REF!,#REF!,#REF!,#REF!,#REF!,#REF!,#REF!,#REF!,"")</f>
        <v>#REF!</v>
      </c>
      <c r="C89" s="44" t="s">
        <v>111</v>
      </c>
      <c r="D89" s="43" t="str">
        <f>IFERROR(VLOOKUP($A89,#REF!,3,FALSE),"")</f>
        <v/>
      </c>
      <c r="E89" s="59" t="str">
        <f>IFERROR(VLOOKUP($A89,#REF!,5,FALSE),"")</f>
        <v/>
      </c>
      <c r="F89" s="27" t="s">
        <v>1</v>
      </c>
      <c r="G89" s="26" t="s">
        <v>17</v>
      </c>
      <c r="H89" s="28" t="s">
        <v>15</v>
      </c>
      <c r="I89" s="26"/>
      <c r="J89" s="29" t="s">
        <v>154</v>
      </c>
      <c r="K89" s="68"/>
      <c r="L89" s="30"/>
      <c r="M89" s="30">
        <v>5000</v>
      </c>
      <c r="N89" s="30" t="s">
        <v>80</v>
      </c>
      <c r="O89" s="30" t="s">
        <v>80</v>
      </c>
      <c r="P89" s="30" t="s">
        <v>80</v>
      </c>
      <c r="Q89" s="30"/>
      <c r="R89" s="14" t="b">
        <v>1</v>
      </c>
      <c r="S89" t="s">
        <v>80</v>
      </c>
    </row>
    <row r="90" spans="1:19" x14ac:dyDescent="0.3">
      <c r="A90" s="84">
        <v>2294</v>
      </c>
      <c r="B90" s="82" t="e" cm="1">
        <f t="array" ref="B90">_xlfn.SWITCH(IFERROR(VLOOKUP($A90,#REF!,2,FALSE),""),#REF!,#REF!,#REF!,#REF!,#REF!,#REF!,#REF!,#REF!,#REF!,#REF!,"")</f>
        <v>#REF!</v>
      </c>
      <c r="C90" s="89" t="s">
        <v>110</v>
      </c>
      <c r="D90" s="43" t="str">
        <f>IFERROR(VLOOKUP($A90,#REF!,3,FALSE),"")</f>
        <v/>
      </c>
      <c r="E90" s="59" t="str">
        <f>IFERROR(VLOOKUP($A90,#REF!,5,FALSE),"")</f>
        <v/>
      </c>
      <c r="F90" s="84" t="s">
        <v>1</v>
      </c>
      <c r="G90" s="84" t="s">
        <v>54</v>
      </c>
      <c r="H90" s="28"/>
      <c r="I90" s="84"/>
      <c r="J90" s="86" t="s">
        <v>162</v>
      </c>
      <c r="K90" s="90"/>
      <c r="L90" s="30"/>
      <c r="M90" s="87"/>
      <c r="N90" s="87">
        <v>6000</v>
      </c>
      <c r="O90" s="87"/>
      <c r="P90" s="87"/>
      <c r="Q90" s="87"/>
      <c r="R90" s="88" t="b">
        <v>1</v>
      </c>
    </row>
    <row r="91" spans="1:19" x14ac:dyDescent="0.3">
      <c r="A91" s="46">
        <v>2324</v>
      </c>
      <c r="B91" s="16" t="e" cm="1">
        <f t="array" ref="B91">_xlfn.SWITCH(IFERROR(VLOOKUP($A91,#REF!,2,FALSE),""),#REF!,#REF!,#REF!,#REF!,#REF!,#REF!,#REF!,#REF!,#REF!,#REF!,"")</f>
        <v>#REF!</v>
      </c>
      <c r="C91" s="42" t="s">
        <v>109</v>
      </c>
      <c r="D91" s="18" t="str">
        <f>IFERROR(VLOOKUP($A91,#REF!,3,FALSE),"")</f>
        <v/>
      </c>
      <c r="E91" s="58" t="str">
        <f>IFERROR(VLOOKUP($A91,#REF!,5,FALSE),"")</f>
        <v/>
      </c>
      <c r="F91" s="27" t="s">
        <v>1</v>
      </c>
      <c r="G91" s="27" t="s">
        <v>128</v>
      </c>
      <c r="H91" s="28"/>
      <c r="I91" s="26"/>
      <c r="J91" s="29" t="s">
        <v>73</v>
      </c>
      <c r="K91" s="29"/>
      <c r="L91" s="48"/>
      <c r="M91" s="48"/>
      <c r="N91" s="48"/>
      <c r="O91" s="48">
        <v>80000</v>
      </c>
      <c r="P91" s="48"/>
      <c r="Q91" s="48"/>
      <c r="R91" s="14" t="b">
        <v>1</v>
      </c>
    </row>
    <row r="92" spans="1:19" x14ac:dyDescent="0.3">
      <c r="A92" s="46">
        <v>2324</v>
      </c>
      <c r="B92" s="16" t="e" cm="1">
        <f t="array" ref="B92">_xlfn.SWITCH(IFERROR(VLOOKUP($A92,#REF!,2,FALSE),""),#REF!,#REF!,#REF!,#REF!,#REF!,#REF!,#REF!,#REF!,#REF!,#REF!,"")</f>
        <v>#REF!</v>
      </c>
      <c r="C92" s="42" t="s">
        <v>109</v>
      </c>
      <c r="D92" s="18" t="str">
        <f>IFERROR(VLOOKUP($A92,#REF!,3,FALSE),"")</f>
        <v/>
      </c>
      <c r="E92" s="58" t="str">
        <f>IFERROR(VLOOKUP($A92,#REF!,5,FALSE),"")</f>
        <v/>
      </c>
      <c r="F92" s="27" t="s">
        <v>1</v>
      </c>
      <c r="G92" s="27" t="s">
        <v>54</v>
      </c>
      <c r="H92" s="28"/>
      <c r="I92" s="26"/>
      <c r="J92" s="29" t="s">
        <v>94</v>
      </c>
      <c r="K92" s="29"/>
      <c r="L92" s="48"/>
      <c r="M92" s="48"/>
      <c r="N92" s="48"/>
      <c r="O92" s="48"/>
      <c r="P92" s="48"/>
      <c r="Q92" s="48">
        <v>10000</v>
      </c>
      <c r="R92" s="14" t="b">
        <v>1</v>
      </c>
    </row>
    <row r="93" spans="1:19" x14ac:dyDescent="0.3">
      <c r="A93" s="46">
        <v>2324</v>
      </c>
      <c r="B93" s="16" t="e" cm="1">
        <f t="array" ref="B93">_xlfn.SWITCH(IFERROR(VLOOKUP($A93,#REF!,2,FALSE),""),#REF!,#REF!,#REF!,#REF!,#REF!,#REF!,#REF!,#REF!,#REF!,#REF!,"")</f>
        <v>#REF!</v>
      </c>
      <c r="C93" s="42" t="s">
        <v>109</v>
      </c>
      <c r="D93" s="18" t="str">
        <f>IFERROR(VLOOKUP($A93,#REF!,3,FALSE),"")</f>
        <v/>
      </c>
      <c r="E93" s="58" t="str">
        <f>IFERROR(VLOOKUP($A93,#REF!,5,FALSE),"")</f>
        <v/>
      </c>
      <c r="F93" s="26" t="s">
        <v>1</v>
      </c>
      <c r="G93" s="26" t="s">
        <v>23</v>
      </c>
      <c r="H93" s="28"/>
      <c r="I93" s="28"/>
      <c r="J93" s="50" t="s">
        <v>95</v>
      </c>
      <c r="K93" s="50"/>
      <c r="L93" s="48"/>
      <c r="M93" s="48"/>
      <c r="N93" s="48"/>
      <c r="O93" s="48"/>
      <c r="P93" s="48"/>
      <c r="Q93" s="48">
        <v>5000</v>
      </c>
      <c r="R93" s="14" t="b">
        <v>1</v>
      </c>
    </row>
    <row r="94" spans="1:19" x14ac:dyDescent="0.3">
      <c r="A94" s="46">
        <v>2324</v>
      </c>
      <c r="B94" s="16" t="e" cm="1">
        <f t="array" ref="B94">_xlfn.SWITCH(IFERROR(VLOOKUP($A94,#REF!,2,FALSE),""),#REF!,#REF!,#REF!,#REF!,#REF!,#REF!,#REF!,#REF!,#REF!,#REF!,"")</f>
        <v>#REF!</v>
      </c>
      <c r="C94" s="42" t="s">
        <v>109</v>
      </c>
      <c r="D94" s="18" t="str">
        <f>IFERROR(VLOOKUP($A94,#REF!,3,FALSE),"")</f>
        <v/>
      </c>
      <c r="E94" s="58" t="str">
        <f>IFERROR(VLOOKUP($A94,#REF!,5,FALSE),"")</f>
        <v/>
      </c>
      <c r="F94" s="15" t="s">
        <v>1</v>
      </c>
      <c r="G94" s="15" t="s">
        <v>129</v>
      </c>
      <c r="H94" s="19"/>
      <c r="I94" s="15"/>
      <c r="J94" s="47" t="s">
        <v>96</v>
      </c>
      <c r="K94" s="47"/>
      <c r="L94" s="48"/>
      <c r="M94" s="48"/>
      <c r="N94" s="48"/>
      <c r="O94" s="48"/>
      <c r="P94" s="48"/>
      <c r="Q94" s="48">
        <v>7000</v>
      </c>
      <c r="R94" s="14" t="b">
        <v>1</v>
      </c>
    </row>
    <row r="95" spans="1:19" x14ac:dyDescent="0.3">
      <c r="A95" s="46">
        <v>2342</v>
      </c>
      <c r="B95" s="82" t="e" cm="1">
        <f t="array" ref="B95">_xlfn.SWITCH(IFERROR(VLOOKUP($A95,#REF!,2,FALSE),""),#REF!,#REF!,#REF!,#REF!,#REF!,#REF!,#REF!,#REF!,#REF!,#REF!,"")</f>
        <v>#REF!</v>
      </c>
      <c r="C95" s="17" t="s">
        <v>130</v>
      </c>
      <c r="D95" s="18" t="str">
        <f>IFERROR(VLOOKUP($A95,#REF!,3,FALSE),"")</f>
        <v/>
      </c>
      <c r="E95" s="58" t="str">
        <f>IFERROR(VLOOKUP($A95,#REF!,5,FALSE),"")</f>
        <v/>
      </c>
      <c r="F95" s="15" t="s">
        <v>1</v>
      </c>
      <c r="G95" s="15" t="s">
        <v>127</v>
      </c>
      <c r="H95" s="19"/>
      <c r="I95" s="15"/>
      <c r="J95" s="47" t="s">
        <v>131</v>
      </c>
      <c r="K95" s="47"/>
      <c r="L95" s="48"/>
      <c r="M95" s="48">
        <v>7000</v>
      </c>
      <c r="N95" s="48"/>
      <c r="O95" s="48"/>
      <c r="P95" s="48"/>
      <c r="Q95" s="48"/>
      <c r="R95" s="14" t="b">
        <v>1</v>
      </c>
    </row>
    <row r="96" spans="1:19" x14ac:dyDescent="0.3">
      <c r="A96" s="46"/>
      <c r="B96" s="16" t="e" cm="1">
        <f t="array" ref="B96">_xlfn.SWITCH(IFERROR(VLOOKUP($A96,#REF!,2,FALSE),""),#REF!,#REF!,#REF!,#REF!,#REF!,#REF!,#REF!,#REF!,#REF!,#REF!,"")</f>
        <v>#REF!</v>
      </c>
      <c r="C96" s="17"/>
      <c r="D96" s="18" t="str">
        <f>IFERROR(VLOOKUP($A96,#REF!,3,FALSE),"")</f>
        <v/>
      </c>
      <c r="E96" s="58" t="str">
        <f>IFERROR(VLOOKUP($A96,#REF!,5,FALSE),"")</f>
        <v/>
      </c>
      <c r="F96" s="15"/>
      <c r="G96" s="15"/>
      <c r="H96" s="19"/>
      <c r="I96" s="15"/>
      <c r="J96" s="47"/>
      <c r="K96" s="47"/>
      <c r="L96" s="48"/>
      <c r="M96" s="48"/>
      <c r="N96" s="48"/>
      <c r="O96" s="48"/>
      <c r="P96" s="48"/>
      <c r="Q96" s="48"/>
      <c r="R96" s="14" t="b">
        <v>1</v>
      </c>
    </row>
    <row r="97" spans="1:18" x14ac:dyDescent="0.3">
      <c r="A97" s="46"/>
      <c r="B97" s="16" t="e" cm="1">
        <f t="array" ref="B97">_xlfn.SWITCH(IFERROR(VLOOKUP($A97,#REF!,2,FALSE),""),#REF!,#REF!,#REF!,#REF!,#REF!,#REF!,#REF!,#REF!,#REF!,#REF!,"")</f>
        <v>#REF!</v>
      </c>
      <c r="C97" s="17"/>
      <c r="D97" s="18" t="str">
        <f>IFERROR(VLOOKUP($A97,#REF!,3,FALSE),"")</f>
        <v/>
      </c>
      <c r="E97" s="58" t="str">
        <f>IFERROR(VLOOKUP($A97,#REF!,5,FALSE),"")</f>
        <v/>
      </c>
      <c r="F97" s="15"/>
      <c r="G97" s="15"/>
      <c r="H97" s="19"/>
      <c r="I97" s="15"/>
      <c r="J97" s="47"/>
      <c r="K97" s="47"/>
      <c r="L97" s="48"/>
      <c r="M97" s="48"/>
      <c r="N97" s="48"/>
      <c r="O97" s="48"/>
      <c r="P97" s="48"/>
      <c r="Q97" s="48"/>
      <c r="R97" s="14" t="b">
        <v>0</v>
      </c>
    </row>
    <row r="98" spans="1:18" x14ac:dyDescent="0.3">
      <c r="A98" s="2"/>
      <c r="D98" s="6"/>
      <c r="E98" s="7"/>
    </row>
    <row r="99" spans="1:18" x14ac:dyDescent="0.3">
      <c r="D99" s="6"/>
      <c r="E99" s="7"/>
    </row>
    <row r="100" spans="1:18" x14ac:dyDescent="0.3">
      <c r="D100" s="6"/>
      <c r="E100" s="7"/>
    </row>
    <row r="101" spans="1:18" x14ac:dyDescent="0.3">
      <c r="D101" s="6"/>
      <c r="E101" s="7"/>
    </row>
    <row r="102" spans="1:18" x14ac:dyDescent="0.3">
      <c r="D102" s="6"/>
      <c r="E102" s="7"/>
      <c r="J102" s="22" t="s">
        <v>18</v>
      </c>
      <c r="K102" s="77"/>
      <c r="M102" s="20">
        <f t="shared" ref="M102:Q104" si="0">SUMIFS(M$3:M$100,$F$3:$F$100,$J102,$R$3:$R$100,TRUE)</f>
        <v>45000</v>
      </c>
      <c r="N102" s="20">
        <f t="shared" si="0"/>
        <v>45000</v>
      </c>
      <c r="O102" s="20">
        <f t="shared" si="0"/>
        <v>45000</v>
      </c>
      <c r="P102" s="20">
        <f t="shared" si="0"/>
        <v>45000</v>
      </c>
      <c r="Q102" s="20">
        <f t="shared" si="0"/>
        <v>45000</v>
      </c>
      <c r="R102" s="12"/>
    </row>
    <row r="103" spans="1:18" x14ac:dyDescent="0.3">
      <c r="D103" s="6"/>
      <c r="E103" s="7"/>
      <c r="J103" s="22" t="s">
        <v>13</v>
      </c>
      <c r="K103" s="77"/>
      <c r="M103" s="20">
        <f t="shared" si="0"/>
        <v>120000</v>
      </c>
      <c r="N103" s="20">
        <f t="shared" si="0"/>
        <v>120000</v>
      </c>
      <c r="O103" s="20">
        <f t="shared" si="0"/>
        <v>120000</v>
      </c>
      <c r="P103" s="20">
        <f t="shared" si="0"/>
        <v>120000</v>
      </c>
      <c r="Q103" s="20">
        <f t="shared" si="0"/>
        <v>120000</v>
      </c>
      <c r="R103" s="12"/>
    </row>
    <row r="104" spans="1:18" x14ac:dyDescent="0.3">
      <c r="D104" s="6"/>
      <c r="E104" s="7"/>
      <c r="J104" s="22" t="s">
        <v>1</v>
      </c>
      <c r="K104" s="77"/>
      <c r="M104" s="20">
        <f t="shared" si="0"/>
        <v>135000</v>
      </c>
      <c r="N104" s="20">
        <f t="shared" si="0"/>
        <v>155000</v>
      </c>
      <c r="O104" s="20">
        <f t="shared" si="0"/>
        <v>140000</v>
      </c>
      <c r="P104" s="20">
        <f t="shared" si="0"/>
        <v>145000</v>
      </c>
      <c r="Q104" s="20">
        <f t="shared" si="0"/>
        <v>145000</v>
      </c>
      <c r="R104" s="12"/>
    </row>
    <row r="105" spans="1:18" x14ac:dyDescent="0.3">
      <c r="D105" s="6"/>
      <c r="E105" s="7"/>
      <c r="J105" s="23"/>
      <c r="K105" s="78"/>
      <c r="R105" s="12"/>
    </row>
    <row r="106" spans="1:18" x14ac:dyDescent="0.3">
      <c r="D106" s="6"/>
      <c r="E106" s="7"/>
      <c r="J106" s="22" t="s">
        <v>18</v>
      </c>
      <c r="K106" s="77"/>
      <c r="M106" s="21">
        <v>45000</v>
      </c>
      <c r="N106" s="21">
        <v>45000</v>
      </c>
      <c r="O106" s="21">
        <v>45000</v>
      </c>
      <c r="P106" s="21">
        <v>45000</v>
      </c>
      <c r="Q106" s="21">
        <v>45000</v>
      </c>
      <c r="R106" s="12"/>
    </row>
    <row r="107" spans="1:18" x14ac:dyDescent="0.3">
      <c r="D107" s="6"/>
      <c r="E107" s="7"/>
      <c r="J107" s="22" t="s">
        <v>13</v>
      </c>
      <c r="K107" s="77"/>
      <c r="M107" s="21">
        <v>120000</v>
      </c>
      <c r="N107" s="21">
        <v>120000</v>
      </c>
      <c r="O107" s="21">
        <v>120000</v>
      </c>
      <c r="P107" s="21">
        <v>120000</v>
      </c>
      <c r="Q107" s="21">
        <v>120000</v>
      </c>
      <c r="R107" s="12"/>
    </row>
    <row r="108" spans="1:18" x14ac:dyDescent="0.3">
      <c r="D108" s="6"/>
      <c r="E108" s="7"/>
      <c r="J108" s="22" t="s">
        <v>1</v>
      </c>
      <c r="K108" s="77"/>
      <c r="M108" s="21">
        <v>135000</v>
      </c>
      <c r="N108" s="21">
        <v>135000</v>
      </c>
      <c r="O108" s="21">
        <v>140000</v>
      </c>
      <c r="P108" s="21">
        <v>145000</v>
      </c>
      <c r="Q108" s="21">
        <v>145000</v>
      </c>
      <c r="R108" s="12"/>
    </row>
  </sheetData>
  <sheetProtection insertRows="0" selectLockedCells="1"/>
  <protectedRanges>
    <protectedRange algorithmName="SHA-512" hashValue="5GDw6QBfJeJ/YVgkx5qoW/YoJx4SRIT5Hsx4XTKmlMvVQ4V3/WYNcqT7KV6Neg6Ki7L+VN8+RemtkP4BSAsb2g==" saltValue="d3uuL0BcbFmE2WwVz6whUg==" spinCount="100000" sqref="D3:E97" name="NON MODIFIABLE_2" securityDescriptor="O:WDG:WDD:(A;;CC;;;S-1-5-21-1712602393-1279857024-316617838-18183)"/>
    <protectedRange algorithmName="SHA-512" hashValue="5GDw6QBfJeJ/YVgkx5qoW/YoJx4SRIT5Hsx4XTKmlMvVQ4V3/WYNcqT7KV6Neg6Ki7L+VN8+RemtkP4BSAsb2g==" saltValue="d3uuL0BcbFmE2WwVz6whUg==" spinCount="100000" sqref="R102:R108 R3:R97" name="NON MODIFIABLE_3" securityDescriptor="O:WDG:WDD:(A;;CC;;;S-1-5-21-1712602393-1279857024-316617838-18183)"/>
  </protectedRanges>
  <autoFilter ref="A2:S97" xr:uid="{0CAD033F-88E3-46E8-83CB-843D72295CA7}">
    <sortState xmlns:xlrd2="http://schemas.microsoft.com/office/spreadsheetml/2017/richdata2" ref="A3:S97">
      <sortCondition ref="A2:A97"/>
    </sortState>
  </autoFilter>
  <phoneticPr fontId="20" type="noConversion"/>
  <conditionalFormatting sqref="A88:E88">
    <cfRule type="expression" dxfId="33" priority="218">
      <formula>$A88&lt;&gt;#REF!</formula>
    </cfRule>
  </conditionalFormatting>
  <conditionalFormatting sqref="A61:G61">
    <cfRule type="expression" dxfId="32" priority="27">
      <formula>$A61&lt;&gt;$A62</formula>
    </cfRule>
  </conditionalFormatting>
  <conditionalFormatting sqref="A68:G68">
    <cfRule type="expression" dxfId="31" priority="25">
      <formula>$A68&lt;&gt;$A69</formula>
    </cfRule>
  </conditionalFormatting>
  <conditionalFormatting sqref="A77:K77">
    <cfRule type="expression" dxfId="30" priority="33">
      <formula>$A77&lt;&gt;$A78</formula>
    </cfRule>
  </conditionalFormatting>
  <conditionalFormatting sqref="A3:L4 N3:R4 A6:L7 N6:R7 A9:L9 N9:R9 A11:L14 N11:R14 A17:L21 N17:R21 A23:L23 N23:R23 A25:L26 N25:R26 A29:L32 N29:R32 A34:L34 N34:R34 A36:L37 N36:R37 A39:L44 N39:R44 A46:L50 N46:R50 A54:L54 N54:R54 A58:L59 N58:R59 A62:L66 N62:R66 A69:L73 N69:R73 A78:L79 N78:R79 A83:L83 N83:R83 A86:L86 N86:R86 A91:L93 N91:R104 A94:A95 C94:L95 A96:L104 M102:M104">
    <cfRule type="expression" dxfId="29" priority="66">
      <formula>$A3&lt;&gt;$A4</formula>
    </cfRule>
  </conditionalFormatting>
  <conditionalFormatting sqref="A3:L104 N91:R104 M102:M104">
    <cfRule type="expression" dxfId="28" priority="4">
      <formula>AND(NOT(ISBLANK($L3)),ISBLANK($M3),ISBLANK($N3),ISBLANK($O3),ISBLANK($P3),ISBLANK($Q3))</formula>
    </cfRule>
  </conditionalFormatting>
  <conditionalFormatting sqref="A5:L5 N5:R5 A8:L8 N8:R8 A10:L10 N10:R10 A22:L22 N22:R22 A24:L24 N24:R24 A33:L33 N33:R33 A38:L38 N38:R38 A45:L45 N45:R45 A51:L53 N51:R53 A55:L55 N55:R55 A80:L80 N80:R82 A81:F81 H81:L81 A82:L82 A84:L85 N84:R85">
    <cfRule type="expression" dxfId="27" priority="224">
      <formula>$A5&lt;&gt;#REF!</formula>
    </cfRule>
  </conditionalFormatting>
  <conditionalFormatting sqref="A15:L16 N15:R16 A35:L35 N35:R35 N88:R90 A89:L90">
    <cfRule type="expression" dxfId="26" priority="210">
      <formula>$A15&lt;&gt;#REF!</formula>
    </cfRule>
  </conditionalFormatting>
  <conditionalFormatting sqref="A27:L27 N27:R28 A28:F28 H28:L28 A56:J56 L56:L57 N56:R57 A57:B57 H57:I57 A60:L60 N60:R61 H61:L61 A67:L67 N67:R68 H68:I68 L68 A74:L74 O74:R74 A75:E75 J75:L75 N75:R77 A76:L76 L77 A87:L87 N87:R87">
    <cfRule type="expression" dxfId="25" priority="204">
      <formula>$A27&lt;&gt;$A29</formula>
    </cfRule>
  </conditionalFormatting>
  <conditionalFormatting sqref="B94:B95">
    <cfRule type="expression" dxfId="24" priority="5">
      <formula>$A94&lt;&gt;#REF!</formula>
    </cfRule>
  </conditionalFormatting>
  <conditionalFormatting sqref="C57:G57">
    <cfRule type="expression" dxfId="23" priority="17">
      <formula>$A57&lt;&gt;$A58</formula>
    </cfRule>
  </conditionalFormatting>
  <conditionalFormatting sqref="F75:I75">
    <cfRule type="expression" dxfId="22" priority="31">
      <formula>$A75&lt;&gt;$A76</formula>
    </cfRule>
  </conditionalFormatting>
  <conditionalFormatting sqref="F88:L88">
    <cfRule type="expression" dxfId="21" priority="35">
      <formula>$A88&lt;&gt;$A89</formula>
    </cfRule>
  </conditionalFormatting>
  <conditionalFormatting sqref="G28">
    <cfRule type="expression" dxfId="20" priority="13">
      <formula>$A28&lt;&gt;#REF!</formula>
    </cfRule>
  </conditionalFormatting>
  <conditionalFormatting sqref="G81">
    <cfRule type="expression" dxfId="19" priority="9">
      <formula>$A81&lt;&gt;$A82</formula>
    </cfRule>
  </conditionalFormatting>
  <conditionalFormatting sqref="J57:K57">
    <cfRule type="expression" dxfId="18" priority="15">
      <formula>$A57&lt;&gt;$A58</formula>
    </cfRule>
  </conditionalFormatting>
  <conditionalFormatting sqref="J68:K68">
    <cfRule type="expression" dxfId="17" priority="23">
      <formula>$A68&lt;&gt;$A69</formula>
    </cfRule>
  </conditionalFormatting>
  <conditionalFormatting sqref="K56">
    <cfRule type="expression" dxfId="16" priority="11">
      <formula>$A56&lt;&gt;$A57</formula>
    </cfRule>
  </conditionalFormatting>
  <conditionalFormatting sqref="M3:M96">
    <cfRule type="expression" dxfId="15" priority="3">
      <formula>$A3&lt;&gt;$A4</formula>
    </cfRule>
  </conditionalFormatting>
  <conditionalFormatting sqref="M102:Q104">
    <cfRule type="expression" dxfId="14" priority="61">
      <formula>M102=M106</formula>
    </cfRule>
    <cfRule type="expression" dxfId="13" priority="62">
      <formula>M102&gt;M106</formula>
    </cfRule>
  </conditionalFormatting>
  <conditionalFormatting sqref="N74">
    <cfRule type="expression" dxfId="12" priority="20">
      <formula>AND(NOT(ISBLANK($L74)),ISBLANK($M74),ISBLANK($N74),ISBLANK($O74),ISBLANK($P74),ISBLANK($Q74))</formula>
    </cfRule>
    <cfRule type="expression" dxfId="11" priority="21">
      <formula>$A74&lt;&gt;$A75</formula>
    </cfRule>
  </conditionalFormatting>
  <conditionalFormatting sqref="N3:R4 N6:R7 N9:R9 N11:R14 N17:R21 N23:R23 N25:R26 N29:R32 N34:R34 N36:R37 N39:R44 N46:R50 N54:R54 N58:R59 N62:R66 N69:R73 N78:R79 N83:R83 N86:R86">
    <cfRule type="expression" dxfId="10" priority="36">
      <formula>AND(NOT(ISBLANK($L3)),ISBLANK($M3),ISBLANK($N3),ISBLANK($O3),ISBLANK($P3),ISBLANK($Q3))</formula>
    </cfRule>
  </conditionalFormatting>
  <conditionalFormatting sqref="N5:R5 N8:R8 N10:R10 N22:R22 N24:R24 N33:R33 N38:R38 N45:R45 N51:R53 N80:R82 N84:R85">
    <cfRule type="expression" dxfId="9" priority="223">
      <formula>AND(NOT(ISBLANK($L5)),ISBLANK($M5),ISBLANK($N5),ISBLANK($O5),ISBLANK($P5),ISBLANK($Q5))</formula>
    </cfRule>
  </conditionalFormatting>
  <conditionalFormatting sqref="N15:R16 N35:R35">
    <cfRule type="expression" dxfId="8" priority="209">
      <formula>AND(NOT(ISBLANK($L15)),ISBLANK($M15),ISBLANK($N15),ISBLANK($O15),ISBLANK($P15),ISBLANK($Q15))</formula>
    </cfRule>
  </conditionalFormatting>
  <conditionalFormatting sqref="N27:R28 N55:R57 N60:R61 N67:R68 O74:R74 N75:R77 N87:R90">
    <cfRule type="expression" dxfId="7" priority="203">
      <formula>AND(NOT(ISBLANK($L27)),ISBLANK($M27),ISBLANK($N27),ISBLANK($O27),ISBLANK($P27),ISBLANK($Q27))</formula>
    </cfRule>
  </conditionalFormatting>
  <conditionalFormatting sqref="R3:R104">
    <cfRule type="expression" dxfId="6" priority="172">
      <formula>$R3=TRUE</formula>
    </cfRule>
  </conditionalFormatting>
  <pageMargins left="0.25" right="0.25" top="0.75" bottom="0.75" header="0.3" footer="0.3"/>
  <pageSetup paperSize="9" scale="47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7B06-BAF9-49A8-9266-7DC3E5F89F61}">
  <sheetPr>
    <pageSetUpPr fitToPage="1"/>
  </sheetPr>
  <dimension ref="A1:U127"/>
  <sheetViews>
    <sheetView showGridLines="0" tabSelected="1" topLeftCell="G1" zoomScale="102" zoomScaleNormal="115" workbookViewId="0">
      <pane ySplit="2" topLeftCell="A3" activePane="bottomLeft" state="frozen"/>
      <selection pane="bottomLeft" activeCell="I2" sqref="I2:R2"/>
    </sheetView>
  </sheetViews>
  <sheetFormatPr baseColWidth="10" defaultRowHeight="14.4" x14ac:dyDescent="0.3"/>
  <cols>
    <col min="3" max="3" width="34.88671875" customWidth="1"/>
    <col min="4" max="4" width="26.88671875" style="11" customWidth="1"/>
    <col min="5" max="5" width="18.33203125" style="1" customWidth="1"/>
    <col min="6" max="6" width="6.44140625" customWidth="1"/>
    <col min="7" max="7" width="14.33203125" bestFit="1" customWidth="1"/>
    <col min="8" max="8" width="11.44140625" customWidth="1"/>
    <col min="9" max="9" width="2.109375" customWidth="1"/>
    <col min="10" max="10" width="36.88671875" style="4" customWidth="1"/>
    <col min="11" max="11" width="10.33203125" style="192" customWidth="1"/>
    <col min="12" max="12" width="15.6640625" style="66" customWidth="1"/>
    <col min="13" max="13" width="11.44140625" hidden="1" customWidth="1"/>
    <col min="14" max="18" width="11.44140625" customWidth="1"/>
    <col min="20" max="20" width="19.6640625" style="207" bestFit="1" customWidth="1"/>
    <col min="21" max="21" width="11.44140625" style="5"/>
  </cols>
  <sheetData>
    <row r="1" spans="1:21" x14ac:dyDescent="0.3">
      <c r="D1" s="6"/>
      <c r="E1" s="7"/>
      <c r="M1" s="60" t="str">
        <f t="shared" ref="M1:R1" si="0">(M125-M121)/1000&amp;"k | "&amp;(M126-M122)/1000&amp;"k | "&amp;(M127-M123)/1000&amp;"k"</f>
        <v>19k | 78k | 41k</v>
      </c>
      <c r="N1" s="125" t="str">
        <f t="shared" si="0"/>
        <v>0k | 0k | 0k</v>
      </c>
      <c r="O1" s="60" t="str">
        <f t="shared" si="0"/>
        <v>0k | 0k | 0k</v>
      </c>
      <c r="P1" s="60" t="str">
        <f t="shared" si="0"/>
        <v>0k | 0k | 0k</v>
      </c>
      <c r="Q1" s="60" t="str">
        <f t="shared" si="0"/>
        <v>0k | 0k | 0k</v>
      </c>
      <c r="R1" s="60" t="str">
        <f t="shared" si="0"/>
        <v>0k | 0k | 0k</v>
      </c>
    </row>
    <row r="2" spans="1:21" ht="45.75" customHeight="1" thickBot="1" x14ac:dyDescent="0.35">
      <c r="A2" s="3" t="s">
        <v>65</v>
      </c>
      <c r="B2" s="3" t="s">
        <v>66</v>
      </c>
      <c r="C2" s="3" t="s">
        <v>67</v>
      </c>
      <c r="D2" s="10" t="s">
        <v>0</v>
      </c>
      <c r="E2" s="3" t="s">
        <v>2</v>
      </c>
      <c r="F2" s="3" t="s">
        <v>3</v>
      </c>
      <c r="G2" s="3" t="s">
        <v>68</v>
      </c>
      <c r="H2" s="3" t="s">
        <v>69</v>
      </c>
      <c r="I2" s="3" t="s">
        <v>70</v>
      </c>
      <c r="J2" s="3" t="s">
        <v>71</v>
      </c>
      <c r="K2" s="193"/>
      <c r="L2" s="67" t="s">
        <v>150</v>
      </c>
      <c r="M2" s="137" t="s">
        <v>185</v>
      </c>
      <c r="N2" s="3">
        <v>2026</v>
      </c>
      <c r="O2" s="3">
        <v>2027</v>
      </c>
      <c r="P2" s="3">
        <v>2028</v>
      </c>
      <c r="Q2" s="3">
        <v>2029</v>
      </c>
      <c r="R2" s="3">
        <v>2030</v>
      </c>
      <c r="S2" s="124" t="s">
        <v>175</v>
      </c>
      <c r="T2" s="208" t="s">
        <v>150</v>
      </c>
      <c r="U2" s="208" t="s">
        <v>277</v>
      </c>
    </row>
    <row r="3" spans="1:21" x14ac:dyDescent="0.3">
      <c r="A3" s="132">
        <v>1402</v>
      </c>
      <c r="B3" s="143" t="str" cm="1">
        <f t="array" ref="B3">IFERROR(_xlfn.SWITCH(VLOOKUP($A3,#REF!,2,FALSE),#REF!,#REF!,#REF!,#REF!,#REF!,#REF!,#REF!,#REF!,#REF!,#REF!,#REF!,#REF!,#REF!,#REF!),"")</f>
        <v/>
      </c>
      <c r="C3" s="133" t="s">
        <v>98</v>
      </c>
      <c r="D3" s="150" t="str">
        <f>IFERROR(VLOOKUP($A3,#REF!,3,FALSE),"")</f>
        <v/>
      </c>
      <c r="E3" s="151" t="str">
        <f>IFERROR(VLOOKUP($A3,#REF!,5,FALSE),"")</f>
        <v/>
      </c>
      <c r="F3" s="132" t="s">
        <v>18</v>
      </c>
      <c r="G3" s="132" t="s">
        <v>19</v>
      </c>
      <c r="H3" s="134"/>
      <c r="I3" s="132"/>
      <c r="J3" s="135" t="s">
        <v>309</v>
      </c>
      <c r="K3" s="195">
        <f t="shared" ref="K3:K11" si="1">SUM(N3:R3)</f>
        <v>4000</v>
      </c>
      <c r="L3" s="136" t="s">
        <v>311</v>
      </c>
      <c r="M3" s="109"/>
      <c r="N3" s="128">
        <v>4000</v>
      </c>
      <c r="O3" s="108"/>
      <c r="P3" s="108"/>
      <c r="Q3" s="109"/>
      <c r="R3" s="109"/>
      <c r="S3" s="88" t="b">
        <v>1</v>
      </c>
      <c r="U3" s="5" t="b">
        <f>OR(NOT(ISBLANK(Q3)),NOT(ISBLANK(R3)))</f>
        <v>0</v>
      </c>
    </row>
    <row r="4" spans="1:21" x14ac:dyDescent="0.3">
      <c r="A4" s="84">
        <v>1430</v>
      </c>
      <c r="B4" s="140" t="str" cm="1">
        <f t="array" ref="B4">IFERROR(_xlfn.SWITCH(VLOOKUP($A4,#REF!,2,FALSE),#REF!,#REF!,#REF!,#REF!,#REF!,#REF!,#REF!,#REF!,#REF!,#REF!,#REF!,#REF!,#REF!,#REF!),"")</f>
        <v/>
      </c>
      <c r="C4" s="133" t="s">
        <v>101</v>
      </c>
      <c r="D4" s="215" t="str">
        <f>IFERROR(VLOOKUP($A4,#REF!,3,FALSE),"")</f>
        <v/>
      </c>
      <c r="E4" s="216" t="str">
        <f>IFERROR(VLOOKUP($A4,#REF!,5,FALSE),"")</f>
        <v/>
      </c>
      <c r="F4" s="84" t="s">
        <v>13</v>
      </c>
      <c r="G4" s="84" t="s">
        <v>14</v>
      </c>
      <c r="H4" s="134"/>
      <c r="I4" s="84"/>
      <c r="J4" s="156" t="s">
        <v>188</v>
      </c>
      <c r="K4" s="195">
        <f t="shared" si="1"/>
        <v>18500</v>
      </c>
      <c r="L4" s="90" t="s">
        <v>190</v>
      </c>
      <c r="M4" s="109"/>
      <c r="N4" s="126">
        <v>8500</v>
      </c>
      <c r="O4" s="108"/>
      <c r="P4" s="108"/>
      <c r="Q4" s="109">
        <v>10000</v>
      </c>
      <c r="R4" s="109"/>
      <c r="S4" s="88" t="b">
        <v>1</v>
      </c>
      <c r="U4" s="5" t="b">
        <f t="shared" ref="U4:U67" si="2">OR(NOT(ISBLANK(Q4)),NOT(ISBLANK(R4)))</f>
        <v>1</v>
      </c>
    </row>
    <row r="5" spans="1:21" x14ac:dyDescent="0.3">
      <c r="A5" s="132">
        <v>1396</v>
      </c>
      <c r="B5" s="143" t="str" cm="1">
        <f t="array" ref="B5">IFERROR(_xlfn.SWITCH(VLOOKUP($A5,#REF!,2,FALSE),#REF!,#REF!,#REF!,#REF!,#REF!,#REF!,#REF!,#REF!,#REF!,#REF!,#REF!,#REF!,#REF!,#REF!),"")</f>
        <v/>
      </c>
      <c r="C5" s="133" t="s">
        <v>116</v>
      </c>
      <c r="D5" s="150" t="str">
        <f>IFERROR(VLOOKUP($A5,#REF!,3,FALSE),"")</f>
        <v/>
      </c>
      <c r="E5" s="151" t="str">
        <f>IFERROR(VLOOKUP($A5,#REF!,5,FALSE),"")</f>
        <v/>
      </c>
      <c r="F5" s="132" t="s">
        <v>1</v>
      </c>
      <c r="G5" s="132" t="s">
        <v>40</v>
      </c>
      <c r="H5" s="134"/>
      <c r="I5" s="132"/>
      <c r="J5" s="135" t="s">
        <v>193</v>
      </c>
      <c r="K5" s="195">
        <f t="shared" si="1"/>
        <v>0</v>
      </c>
      <c r="L5" s="136" t="s">
        <v>186</v>
      </c>
      <c r="M5" s="109"/>
      <c r="N5" s="128"/>
      <c r="O5" s="108"/>
      <c r="P5" s="108"/>
      <c r="Q5" s="109"/>
      <c r="R5" s="109"/>
      <c r="S5" s="88" t="b">
        <v>1</v>
      </c>
      <c r="T5"/>
      <c r="U5" s="5" t="b">
        <f t="shared" si="2"/>
        <v>0</v>
      </c>
    </row>
    <row r="6" spans="1:21" ht="20.399999999999999" x14ac:dyDescent="0.3">
      <c r="A6" s="81">
        <v>1430</v>
      </c>
      <c r="B6" s="140" t="str" cm="1">
        <f t="array" ref="B6">IFERROR(_xlfn.SWITCH(VLOOKUP($A6,#REF!,2,FALSE),#REF!,#REF!,#REF!,#REF!,#REF!,#REF!,#REF!,#REF!,#REF!,#REF!,#REF!,#REF!,#REF!,#REF!),"")</f>
        <v/>
      </c>
      <c r="C6" s="198" t="s">
        <v>253</v>
      </c>
      <c r="D6" s="215" t="str">
        <f>IFERROR(VLOOKUP($A6,#REF!,3,FALSE),"")</f>
        <v/>
      </c>
      <c r="E6" s="216" t="str">
        <f>IFERROR(VLOOKUP($A6,#REF!,5,FALSE),"")</f>
        <v/>
      </c>
      <c r="F6" s="84" t="s">
        <v>18</v>
      </c>
      <c r="G6" s="84" t="s">
        <v>58</v>
      </c>
      <c r="H6" s="85"/>
      <c r="I6" s="85"/>
      <c r="J6" s="156" t="s">
        <v>252</v>
      </c>
      <c r="K6" s="195">
        <f t="shared" si="1"/>
        <v>4000</v>
      </c>
      <c r="L6" s="90"/>
      <c r="M6" s="87"/>
      <c r="N6" s="126">
        <v>4000</v>
      </c>
      <c r="O6" s="87"/>
      <c r="P6" s="87"/>
      <c r="Q6" s="87"/>
      <c r="R6" s="87"/>
      <c r="S6" s="88" t="b">
        <v>0</v>
      </c>
      <c r="U6" s="5" t="b">
        <f t="shared" si="2"/>
        <v>0</v>
      </c>
    </row>
    <row r="7" spans="1:21" x14ac:dyDescent="0.3">
      <c r="A7" s="132">
        <v>1718</v>
      </c>
      <c r="B7" s="143" t="str" cm="1">
        <f t="array" ref="B7">IFERROR(_xlfn.SWITCH(VLOOKUP($A7,#REF!,2,FALSE),#REF!,#REF!,#REF!,#REF!,#REF!,#REF!,#REF!,#REF!,#REF!,#REF!,#REF!,#REF!,#REF!,#REF!),"")</f>
        <v/>
      </c>
      <c r="C7" s="133" t="s">
        <v>103</v>
      </c>
      <c r="D7" s="150" t="str">
        <f>IFERROR(VLOOKUP($A7,#REF!,3,FALSE),"")</f>
        <v/>
      </c>
      <c r="E7" s="151" t="str">
        <f>IFERROR(VLOOKUP($A7,#REF!,5,FALSE),"")</f>
        <v/>
      </c>
      <c r="F7" s="132" t="s">
        <v>18</v>
      </c>
      <c r="G7" s="132" t="s">
        <v>19</v>
      </c>
      <c r="H7" s="134"/>
      <c r="I7" s="132"/>
      <c r="J7" s="135" t="s">
        <v>233</v>
      </c>
      <c r="K7" s="195">
        <f t="shared" si="1"/>
        <v>5000</v>
      </c>
      <c r="L7" s="136" t="s">
        <v>186</v>
      </c>
      <c r="M7" s="109"/>
      <c r="N7" s="128">
        <v>5000</v>
      </c>
      <c r="O7" s="108"/>
      <c r="P7" s="108"/>
      <c r="Q7" s="109"/>
      <c r="R7" s="109"/>
      <c r="S7" s="88" t="b">
        <v>1</v>
      </c>
      <c r="U7" s="5" t="b">
        <f t="shared" si="2"/>
        <v>0</v>
      </c>
    </row>
    <row r="8" spans="1:21" x14ac:dyDescent="0.3">
      <c r="A8" s="132">
        <v>1402</v>
      </c>
      <c r="B8" s="143" t="s">
        <v>22</v>
      </c>
      <c r="C8" s="133" t="s">
        <v>98</v>
      </c>
      <c r="D8" s="150" t="s">
        <v>9</v>
      </c>
      <c r="E8" s="151" t="s">
        <v>4</v>
      </c>
      <c r="F8" s="132" t="s">
        <v>18</v>
      </c>
      <c r="G8" s="132" t="s">
        <v>47</v>
      </c>
      <c r="H8" s="134"/>
      <c r="I8" s="132"/>
      <c r="J8" s="135" t="s">
        <v>255</v>
      </c>
      <c r="K8" s="195">
        <f t="shared" si="1"/>
        <v>18000</v>
      </c>
      <c r="L8" s="136"/>
      <c r="M8" s="109"/>
      <c r="N8" s="128">
        <v>3000</v>
      </c>
      <c r="O8" s="108"/>
      <c r="P8" s="108"/>
      <c r="Q8" s="109">
        <v>15000</v>
      </c>
      <c r="R8" s="109"/>
      <c r="S8" s="88" t="b">
        <v>0</v>
      </c>
      <c r="U8" s="5" t="b">
        <f t="shared" si="2"/>
        <v>1</v>
      </c>
    </row>
    <row r="9" spans="1:21" x14ac:dyDescent="0.3">
      <c r="A9" s="209">
        <v>1429</v>
      </c>
      <c r="B9" s="210" t="str" cm="1">
        <f t="array" ref="B9">IFERROR(_xlfn.SWITCH(VLOOKUP($A9,#REF!,2,FALSE),#REF!,#REF!,#REF!,#REF!,#REF!,#REF!,#REF!,#REF!,#REF!,#REF!,#REF!,#REF!,#REF!,#REF!),"")</f>
        <v/>
      </c>
      <c r="C9" s="83" t="s">
        <v>292</v>
      </c>
      <c r="D9" s="212" t="str">
        <f>IFERROR(VLOOKUP($A9,#REF!,3,FALSE),"")</f>
        <v/>
      </c>
      <c r="E9" s="213" t="str">
        <f>IFERROR(VLOOKUP($A9,#REF!,5,FALSE),"")</f>
        <v/>
      </c>
      <c r="F9" s="211" t="s">
        <v>1</v>
      </c>
      <c r="G9" s="211" t="s">
        <v>24</v>
      </c>
      <c r="H9" s="85"/>
      <c r="I9" s="214"/>
      <c r="J9" s="157" t="s">
        <v>266</v>
      </c>
      <c r="K9" s="195">
        <f t="shared" si="1"/>
        <v>15000</v>
      </c>
      <c r="L9" s="107"/>
      <c r="M9" s="109"/>
      <c r="N9" s="128"/>
      <c r="O9" s="109"/>
      <c r="P9" s="109">
        <v>15000</v>
      </c>
      <c r="Q9" s="109"/>
      <c r="R9" s="109"/>
      <c r="S9" s="88" t="b">
        <v>0</v>
      </c>
      <c r="T9"/>
      <c r="U9" s="5" t="b">
        <f t="shared" si="2"/>
        <v>0</v>
      </c>
    </row>
    <row r="10" spans="1:21" x14ac:dyDescent="0.3">
      <c r="A10" s="132">
        <v>1396</v>
      </c>
      <c r="B10" s="143" t="str" cm="1">
        <f t="array" ref="B10">IFERROR(_xlfn.SWITCH(VLOOKUP($A10,#REF!,2,FALSE),#REF!,#REF!,#REF!,#REF!,#REF!,#REF!,#REF!,#REF!,#REF!,#REF!,#REF!,#REF!,#REF!,#REF!),"")</f>
        <v/>
      </c>
      <c r="C10" s="133" t="s">
        <v>116</v>
      </c>
      <c r="D10" s="150" t="str">
        <f>IFERROR(VLOOKUP($A10,#REF!,3,FALSE),"")</f>
        <v/>
      </c>
      <c r="E10" s="151" t="str">
        <f>IFERROR(VLOOKUP($A10,#REF!,5,FALSE),"")</f>
        <v/>
      </c>
      <c r="F10" s="84" t="s">
        <v>1</v>
      </c>
      <c r="G10" s="84" t="s">
        <v>129</v>
      </c>
      <c r="H10" s="134"/>
      <c r="I10" s="132"/>
      <c r="J10" s="135" t="s">
        <v>197</v>
      </c>
      <c r="K10" s="195">
        <f t="shared" si="1"/>
        <v>12000</v>
      </c>
      <c r="L10" s="136" t="s">
        <v>186</v>
      </c>
      <c r="M10" s="109"/>
      <c r="N10" s="128">
        <v>2000</v>
      </c>
      <c r="O10" s="108">
        <v>10000</v>
      </c>
      <c r="P10" s="108"/>
      <c r="Q10" s="109"/>
      <c r="R10" s="109"/>
      <c r="S10" s="88" t="b">
        <v>1</v>
      </c>
      <c r="T10"/>
      <c r="U10" s="5" t="b">
        <f t="shared" si="2"/>
        <v>0</v>
      </c>
    </row>
    <row r="11" spans="1:21" x14ac:dyDescent="0.3">
      <c r="A11" s="209">
        <v>1427</v>
      </c>
      <c r="B11" s="210" t="str" cm="1">
        <f t="array" ref="B11">IFERROR(_xlfn.SWITCH(VLOOKUP($A11,#REF!,2,FALSE),#REF!,#REF!,#REF!,#REF!,#REF!,#REF!,#REF!,#REF!,#REF!,#REF!,#REF!,#REF!,#REF!,#REF!),"")</f>
        <v/>
      </c>
      <c r="C11" s="83" t="s">
        <v>291</v>
      </c>
      <c r="D11" s="212" t="str">
        <f>IFERROR(VLOOKUP($A11,#REF!,3,FALSE),"")</f>
        <v/>
      </c>
      <c r="E11" s="213" t="str">
        <f>IFERROR(VLOOKUP($A11,#REF!,5,FALSE),"")</f>
        <v/>
      </c>
      <c r="F11" s="211" t="s">
        <v>1</v>
      </c>
      <c r="G11" s="211" t="s">
        <v>24</v>
      </c>
      <c r="H11" s="85"/>
      <c r="I11" s="214"/>
      <c r="J11" s="157" t="s">
        <v>265</v>
      </c>
      <c r="K11" s="195">
        <f t="shared" si="1"/>
        <v>25000</v>
      </c>
      <c r="L11" s="107"/>
      <c r="M11" s="109"/>
      <c r="N11" s="128"/>
      <c r="O11" s="109"/>
      <c r="P11" s="109">
        <v>25000</v>
      </c>
      <c r="Q11" s="109"/>
      <c r="R11" s="109"/>
      <c r="S11" s="88" t="b">
        <v>0</v>
      </c>
      <c r="T11"/>
      <c r="U11" s="5" t="b">
        <f t="shared" si="2"/>
        <v>0</v>
      </c>
    </row>
    <row r="12" spans="1:21" x14ac:dyDescent="0.3">
      <c r="A12" s="199">
        <v>1850</v>
      </c>
      <c r="B12" s="200" t="str" cm="1">
        <f t="array" ref="B12">IFERROR(_xlfn.SWITCH(VLOOKUP($A12,#REF!,2,FALSE),#REF!,#REF!,#REF!,#REF!,#REF!,#REF!,#REF!,#REF!,#REF!,#REF!,#REF!,#REF!,#REF!,#REF!),"")</f>
        <v/>
      </c>
      <c r="C12" s="241" t="s">
        <v>296</v>
      </c>
      <c r="D12" s="201" t="str">
        <f>IFERROR(VLOOKUP($A12,#REF!,3,FALSE),"")</f>
        <v/>
      </c>
      <c r="E12" s="202" t="str">
        <f>IFERROR(VLOOKUP($A12,#REF!,5,FALSE),"")</f>
        <v/>
      </c>
      <c r="F12" s="203" t="s">
        <v>18</v>
      </c>
      <c r="G12" s="203" t="s">
        <v>19</v>
      </c>
      <c r="H12" s="242"/>
      <c r="I12" s="199"/>
      <c r="J12" s="204" t="s">
        <v>276</v>
      </c>
      <c r="K12" s="243"/>
      <c r="L12" s="205" t="s">
        <v>285</v>
      </c>
      <c r="M12" s="206"/>
      <c r="N12" s="206">
        <v>4000</v>
      </c>
      <c r="O12" s="108"/>
      <c r="P12" s="108"/>
      <c r="Q12" s="109"/>
      <c r="R12" s="109"/>
      <c r="S12" s="88" t="b">
        <v>0</v>
      </c>
      <c r="U12" s="5" t="b">
        <f t="shared" si="2"/>
        <v>0</v>
      </c>
    </row>
    <row r="13" spans="1:21" x14ac:dyDescent="0.3">
      <c r="A13" s="132">
        <v>1399</v>
      </c>
      <c r="B13" s="143" t="str" cm="1">
        <f t="array" ref="B13">IFERROR(_xlfn.SWITCH(VLOOKUP($A13,#REF!,2,FALSE),#REF!,#REF!,#REF!,#REF!,#REF!,#REF!,#REF!,#REF!,#REF!,#REF!,#REF!,#REF!,#REF!,#REF!),"")</f>
        <v/>
      </c>
      <c r="C13" s="133" t="s">
        <v>43</v>
      </c>
      <c r="D13" s="150" t="str">
        <f>IFERROR(VLOOKUP($A13,#REF!,3,FALSE),"")</f>
        <v/>
      </c>
      <c r="E13" s="151" t="str">
        <f>IFERROR(VLOOKUP($A13,#REF!,5,FALSE),"")</f>
        <v/>
      </c>
      <c r="F13" s="84" t="s">
        <v>13</v>
      </c>
      <c r="G13" s="84" t="s">
        <v>14</v>
      </c>
      <c r="H13" s="134"/>
      <c r="I13" s="132"/>
      <c r="J13" s="135" t="s">
        <v>223</v>
      </c>
      <c r="K13" s="195">
        <f t="shared" ref="K13:K76" si="3">SUM(N13:R13)</f>
        <v>10000</v>
      </c>
      <c r="L13" s="136" t="s">
        <v>225</v>
      </c>
      <c r="M13" s="109"/>
      <c r="N13" s="128"/>
      <c r="O13" s="108">
        <v>10000</v>
      </c>
      <c r="P13" s="108"/>
      <c r="Q13" s="109"/>
      <c r="R13" s="109"/>
      <c r="S13" s="88" t="b">
        <v>0</v>
      </c>
      <c r="T13"/>
      <c r="U13" s="5" t="b">
        <f t="shared" si="2"/>
        <v>0</v>
      </c>
    </row>
    <row r="14" spans="1:21" x14ac:dyDescent="0.3">
      <c r="A14" s="84">
        <v>2292</v>
      </c>
      <c r="B14" s="140" t="str" cm="1">
        <f t="array" ref="B14">IFERROR(_xlfn.SWITCH(VLOOKUP($A14,#REF!,2,FALSE),#REF!,#REF!,#REF!,#REF!,#REF!,#REF!,#REF!,#REF!,#REF!,#REF!,#REF!,#REF!,#REF!,#REF!),"")</f>
        <v/>
      </c>
      <c r="C14" s="83" t="s">
        <v>304</v>
      </c>
      <c r="D14" s="144" t="str">
        <f>IFERROR(VLOOKUP($A14,#REF!,3,FALSE),"")</f>
        <v/>
      </c>
      <c r="E14" s="145" t="str">
        <f>IFERROR(VLOOKUP($A14,#REF!,5,FALSE),"")</f>
        <v/>
      </c>
      <c r="F14" s="84" t="s">
        <v>1</v>
      </c>
      <c r="G14" s="84" t="s">
        <v>17</v>
      </c>
      <c r="H14" s="85" t="s">
        <v>15</v>
      </c>
      <c r="I14" s="84"/>
      <c r="J14" s="154" t="s">
        <v>275</v>
      </c>
      <c r="K14" s="195">
        <f t="shared" si="3"/>
        <v>30000</v>
      </c>
      <c r="L14" s="118"/>
      <c r="M14" s="109">
        <v>20000</v>
      </c>
      <c r="N14" s="128"/>
      <c r="O14" s="108">
        <v>20000</v>
      </c>
      <c r="P14" s="108"/>
      <c r="Q14" s="109"/>
      <c r="R14" s="109">
        <v>10000</v>
      </c>
      <c r="S14" s="88" t="b">
        <v>0</v>
      </c>
      <c r="T14"/>
      <c r="U14" s="5" t="b">
        <f t="shared" si="2"/>
        <v>1</v>
      </c>
    </row>
    <row r="15" spans="1:21" x14ac:dyDescent="0.3">
      <c r="A15" s="132">
        <v>1975</v>
      </c>
      <c r="B15" s="143" t="str" cm="1">
        <f t="array" ref="B15">IFERROR(_xlfn.SWITCH(VLOOKUP($A15,#REF!,2,FALSE),#REF!,#REF!,#REF!,#REF!,#REF!,#REF!,#REF!,#REF!,#REF!,#REF!,#REF!,#REF!,#REF!,#REF!),"")</f>
        <v/>
      </c>
      <c r="C15" s="133" t="s">
        <v>297</v>
      </c>
      <c r="D15" s="150" t="str">
        <f>IFERROR(VLOOKUP($A15,#REF!,3,FALSE),"")</f>
        <v/>
      </c>
      <c r="E15" s="151" t="str">
        <f>IFERROR(VLOOKUP($A15,#REF!,5,FALSE),"")</f>
        <v/>
      </c>
      <c r="F15" s="84" t="s">
        <v>18</v>
      </c>
      <c r="G15" s="84" t="s">
        <v>19</v>
      </c>
      <c r="H15" s="134"/>
      <c r="I15" s="132"/>
      <c r="J15" s="135" t="s">
        <v>228</v>
      </c>
      <c r="K15" s="195">
        <f t="shared" si="3"/>
        <v>4000</v>
      </c>
      <c r="L15" s="136"/>
      <c r="M15" s="109"/>
      <c r="N15" s="128">
        <v>4000</v>
      </c>
      <c r="O15" s="108"/>
      <c r="P15" s="108"/>
      <c r="Q15" s="109"/>
      <c r="R15" s="109"/>
      <c r="S15" s="88" t="b">
        <v>0</v>
      </c>
      <c r="U15" s="5" t="b">
        <f t="shared" si="2"/>
        <v>0</v>
      </c>
    </row>
    <row r="16" spans="1:21" x14ac:dyDescent="0.3">
      <c r="A16" s="81">
        <v>1429</v>
      </c>
      <c r="B16" s="140" t="str" cm="1">
        <f t="array" ref="B16">IFERROR(_xlfn.SWITCH(VLOOKUP($A16,#REF!,2,FALSE),#REF!,#REF!,#REF!,#REF!,#REF!,#REF!,#REF!,#REF!,#REF!,#REF!,#REF!,#REF!,#REF!,#REF!),"")</f>
        <v/>
      </c>
      <c r="C16" s="83" t="s">
        <v>292</v>
      </c>
      <c r="D16" s="144" t="str">
        <f>IFERROR(VLOOKUP($A16,#REF!,3,FALSE),"")</f>
        <v/>
      </c>
      <c r="E16" s="145" t="str">
        <f>IFERROR(VLOOKUP($A16,#REF!,5,FALSE),"")</f>
        <v/>
      </c>
      <c r="F16" s="84" t="s">
        <v>1</v>
      </c>
      <c r="G16" s="105" t="s">
        <v>54</v>
      </c>
      <c r="H16" s="85" t="s">
        <v>15</v>
      </c>
      <c r="I16" s="85"/>
      <c r="J16" s="156" t="s">
        <v>211</v>
      </c>
      <c r="K16" s="195">
        <f t="shared" si="3"/>
        <v>28000</v>
      </c>
      <c r="L16" s="90" t="s">
        <v>212</v>
      </c>
      <c r="M16" s="87"/>
      <c r="N16" s="126">
        <v>3000</v>
      </c>
      <c r="O16" s="87">
        <v>5000</v>
      </c>
      <c r="P16" s="87">
        <v>20000</v>
      </c>
      <c r="Q16" s="87"/>
      <c r="R16" s="87"/>
      <c r="S16" s="88" t="b">
        <v>0</v>
      </c>
      <c r="T16"/>
      <c r="U16" s="5" t="b">
        <f t="shared" si="2"/>
        <v>0</v>
      </c>
    </row>
    <row r="17" spans="1:21" x14ac:dyDescent="0.3">
      <c r="A17" s="132">
        <v>1976</v>
      </c>
      <c r="B17" s="143" t="str" cm="1">
        <f t="array" ref="B17">IFERROR(_xlfn.SWITCH(VLOOKUP($A17,#REF!,2,FALSE),#REF!,#REF!,#REF!,#REF!,#REF!,#REF!,#REF!,#REF!,#REF!,#REF!,#REF!,#REF!,#REF!,#REF!),"")</f>
        <v/>
      </c>
      <c r="C17" s="133" t="s">
        <v>298</v>
      </c>
      <c r="D17" s="150" t="str">
        <f>IFERROR(VLOOKUP($A17,#REF!,3,FALSE),"")</f>
        <v/>
      </c>
      <c r="E17" s="151" t="str">
        <f>IFERROR(VLOOKUP($A17,#REF!,5,FALSE),"")</f>
        <v/>
      </c>
      <c r="F17" s="132" t="s">
        <v>18</v>
      </c>
      <c r="G17" s="132" t="s">
        <v>58</v>
      </c>
      <c r="H17" s="134"/>
      <c r="I17" s="132"/>
      <c r="J17" s="135" t="s">
        <v>245</v>
      </c>
      <c r="K17" s="195">
        <f t="shared" si="3"/>
        <v>7000</v>
      </c>
      <c r="L17" s="136" t="s">
        <v>180</v>
      </c>
      <c r="M17" s="109"/>
      <c r="N17" s="128">
        <v>7000</v>
      </c>
      <c r="O17" s="108"/>
      <c r="P17" s="108"/>
      <c r="Q17" s="109"/>
      <c r="R17" s="109"/>
      <c r="S17" s="88" t="b">
        <v>1</v>
      </c>
      <c r="U17" s="5" t="b">
        <f t="shared" si="2"/>
        <v>0</v>
      </c>
    </row>
    <row r="18" spans="1:21" x14ac:dyDescent="0.3">
      <c r="A18" s="81">
        <v>1398</v>
      </c>
      <c r="B18" s="140" t="str" cm="1">
        <f t="array" ref="B18">IFERROR(_xlfn.SWITCH(VLOOKUP($A18,#REF!,2,FALSE),#REF!,#REF!,#REF!,#REF!,#REF!,#REF!,#REF!,#REF!,#REF!,#REF!,#REF!,#REF!,#REF!,#REF!),"")</f>
        <v/>
      </c>
      <c r="C18" s="83" t="s">
        <v>119</v>
      </c>
      <c r="D18" s="144" t="str">
        <f>IFERROR(VLOOKUP($A18,#REF!,3,FALSE),"")</f>
        <v/>
      </c>
      <c r="E18" s="145" t="str">
        <f>IFERROR(VLOOKUP($A18,#REF!,5,FALSE),"")</f>
        <v/>
      </c>
      <c r="F18" s="84" t="s">
        <v>1</v>
      </c>
      <c r="G18" s="84" t="s">
        <v>128</v>
      </c>
      <c r="H18" s="85" t="s">
        <v>15</v>
      </c>
      <c r="I18" s="85"/>
      <c r="J18" s="156" t="s">
        <v>73</v>
      </c>
      <c r="K18" s="195">
        <f t="shared" si="3"/>
        <v>40000</v>
      </c>
      <c r="L18" s="86"/>
      <c r="M18" s="87"/>
      <c r="N18" s="126"/>
      <c r="O18" s="87"/>
      <c r="P18" s="87">
        <v>40000</v>
      </c>
      <c r="Q18" s="87"/>
      <c r="R18" s="87"/>
      <c r="S18" s="88" t="b">
        <v>0</v>
      </c>
      <c r="T18"/>
      <c r="U18" s="5" t="b">
        <f t="shared" si="2"/>
        <v>0</v>
      </c>
    </row>
    <row r="19" spans="1:21" x14ac:dyDescent="0.3">
      <c r="A19" s="176">
        <v>1399</v>
      </c>
      <c r="B19" s="164" t="str" cm="1">
        <f t="array" ref="B19">IFERROR(_xlfn.SWITCH(VLOOKUP($A19,#REF!,2,FALSE),#REF!,#REF!,#REF!,#REF!,#REF!,#REF!,#REF!,#REF!,#REF!,#REF!,#REF!,#REF!,#REF!,#REF!),"")</f>
        <v/>
      </c>
      <c r="C19" s="165" t="s">
        <v>164</v>
      </c>
      <c r="D19" s="166" t="str">
        <f>IFERROR(VLOOKUP($A19,#REF!,3,FALSE),"")</f>
        <v/>
      </c>
      <c r="E19" s="167" t="str">
        <f>IFERROR(VLOOKUP($A19,#REF!,5,FALSE),"")</f>
        <v/>
      </c>
      <c r="F19" s="163" t="s">
        <v>1</v>
      </c>
      <c r="G19" s="163" t="s">
        <v>17</v>
      </c>
      <c r="H19" s="85"/>
      <c r="I19" s="175"/>
      <c r="J19" s="168" t="s">
        <v>163</v>
      </c>
      <c r="K19" s="195">
        <f t="shared" si="3"/>
        <v>40000</v>
      </c>
      <c r="L19" s="190" t="s">
        <v>158</v>
      </c>
      <c r="M19" s="87"/>
      <c r="N19" s="126"/>
      <c r="O19" s="87"/>
      <c r="P19" s="87"/>
      <c r="Q19" s="87"/>
      <c r="R19" s="87">
        <v>40000</v>
      </c>
      <c r="S19" s="88" t="b">
        <v>0</v>
      </c>
      <c r="T19"/>
      <c r="U19" s="5" t="b">
        <f t="shared" si="2"/>
        <v>1</v>
      </c>
    </row>
    <row r="20" spans="1:21" x14ac:dyDescent="0.3">
      <c r="A20" s="199">
        <v>2072</v>
      </c>
      <c r="B20" s="200" t="str" cm="1">
        <f t="array" ref="B20">IFERROR(_xlfn.SWITCH(VLOOKUP($A20,#REF!,2,FALSE),#REF!,#REF!,#REF!,#REF!,#REF!,#REF!,#REF!,#REF!,#REF!,#REF!,#REF!,#REF!,#REF!,#REF!),"")</f>
        <v/>
      </c>
      <c r="C20" s="133" t="s">
        <v>301</v>
      </c>
      <c r="D20" s="201" t="str">
        <f>IFERROR(VLOOKUP($A20,#REF!,3,FALSE),"")</f>
        <v/>
      </c>
      <c r="E20" s="202" t="str">
        <f>IFERROR(VLOOKUP($A20,#REF!,5,FALSE),"")</f>
        <v/>
      </c>
      <c r="F20" s="199" t="s">
        <v>18</v>
      </c>
      <c r="G20" s="199" t="s">
        <v>47</v>
      </c>
      <c r="H20" s="134"/>
      <c r="I20" s="199"/>
      <c r="J20" s="204" t="s">
        <v>200</v>
      </c>
      <c r="K20" s="195">
        <f t="shared" si="3"/>
        <v>3000</v>
      </c>
      <c r="L20" s="205" t="s">
        <v>231</v>
      </c>
      <c r="M20" s="109"/>
      <c r="N20" s="206">
        <v>3000</v>
      </c>
      <c r="O20" s="228"/>
      <c r="P20" s="108"/>
      <c r="Q20" s="109"/>
      <c r="R20" s="109"/>
      <c r="S20" s="88" t="b">
        <v>1</v>
      </c>
      <c r="T20"/>
      <c r="U20" s="5" t="b">
        <f t="shared" si="2"/>
        <v>0</v>
      </c>
    </row>
    <row r="21" spans="1:21" x14ac:dyDescent="0.3">
      <c r="A21" s="132">
        <v>1799</v>
      </c>
      <c r="B21" s="143" t="str" cm="1">
        <f t="array" ref="B21">IFERROR(_xlfn.SWITCH(VLOOKUP($A21,#REF!,2,FALSE),#REF!,#REF!,#REF!,#REF!,#REF!,#REF!,#REF!,#REF!,#REF!,#REF!,#REF!,#REF!,#REF!,#REF!),"")</f>
        <v/>
      </c>
      <c r="C21" s="133" t="s">
        <v>34</v>
      </c>
      <c r="D21" s="150" t="str">
        <f>IFERROR(VLOOKUP($A21,#REF!,3,FALSE),"")</f>
        <v/>
      </c>
      <c r="E21" s="151" t="str">
        <f>IFERROR(VLOOKUP($A21,#REF!,5,FALSE),"")</f>
        <v/>
      </c>
      <c r="F21" s="132" t="s">
        <v>13</v>
      </c>
      <c r="G21" s="132" t="s">
        <v>14</v>
      </c>
      <c r="H21" s="134"/>
      <c r="I21" s="132"/>
      <c r="J21" s="135" t="s">
        <v>187</v>
      </c>
      <c r="K21" s="196">
        <f t="shared" si="3"/>
        <v>26000</v>
      </c>
      <c r="L21" s="136" t="s">
        <v>189</v>
      </c>
      <c r="M21" s="109"/>
      <c r="N21" s="184"/>
      <c r="O21" s="108">
        <v>6000</v>
      </c>
      <c r="P21" s="108"/>
      <c r="Q21" s="109">
        <v>20000</v>
      </c>
      <c r="R21" s="109"/>
      <c r="S21" s="88" t="b">
        <v>1</v>
      </c>
      <c r="T21"/>
      <c r="U21" s="5" t="b">
        <f t="shared" si="2"/>
        <v>1</v>
      </c>
    </row>
    <row r="22" spans="1:21" x14ac:dyDescent="0.3">
      <c r="A22" s="81">
        <v>1396</v>
      </c>
      <c r="B22" s="140" t="str" cm="1">
        <f t="array" ref="B22">IFERROR(_xlfn.SWITCH(VLOOKUP($A22,#REF!,2,FALSE),#REF!,#REF!,#REF!,#REF!,#REF!,#REF!,#REF!,#REF!,#REF!,#REF!,#REF!,#REF!,#REF!,#REF!),"")</f>
        <v/>
      </c>
      <c r="C22" s="83" t="s">
        <v>116</v>
      </c>
      <c r="D22" s="144" t="str">
        <f>IFERROR(VLOOKUP($A22,#REF!,3,FALSE),"")</f>
        <v/>
      </c>
      <c r="E22" s="145" t="str">
        <f>IFERROR(VLOOKUP($A22,#REF!,5,FALSE),"")</f>
        <v/>
      </c>
      <c r="F22" s="84" t="s">
        <v>1</v>
      </c>
      <c r="G22" s="84" t="s">
        <v>17</v>
      </c>
      <c r="H22" s="85" t="s">
        <v>15</v>
      </c>
      <c r="I22" s="85"/>
      <c r="J22" s="156" t="s">
        <v>235</v>
      </c>
      <c r="K22" s="195">
        <f t="shared" si="3"/>
        <v>15000</v>
      </c>
      <c r="L22" s="86"/>
      <c r="M22" s="87"/>
      <c r="N22" s="126"/>
      <c r="O22" s="87"/>
      <c r="P22" s="87"/>
      <c r="Q22" s="87">
        <v>15000</v>
      </c>
      <c r="R22" s="87"/>
      <c r="S22" s="88" t="b">
        <v>0</v>
      </c>
      <c r="T22"/>
      <c r="U22" s="5" t="b">
        <f t="shared" si="2"/>
        <v>1</v>
      </c>
    </row>
    <row r="23" spans="1:21" x14ac:dyDescent="0.3">
      <c r="A23" s="81">
        <v>1950</v>
      </c>
      <c r="B23" s="140" t="str" cm="1">
        <f t="array" ref="B23">IFERROR(_xlfn.SWITCH(VLOOKUP($A23,#REF!,2,FALSE),#REF!,#REF!,#REF!,#REF!,#REF!,#REF!,#REF!,#REF!,#REF!,#REF!,#REF!,#REF!,#REF!,#REF!),"")</f>
        <v/>
      </c>
      <c r="C23" s="83" t="s">
        <v>106</v>
      </c>
      <c r="D23" s="144" t="str">
        <f>IFERROR(VLOOKUP($A23,#REF!,3,FALSE),"")</f>
        <v/>
      </c>
      <c r="E23" s="145" t="str">
        <f>IFERROR(VLOOKUP($A23,#REF!,5,FALSE),"")</f>
        <v/>
      </c>
      <c r="F23" s="84" t="s">
        <v>1</v>
      </c>
      <c r="G23" s="84" t="s">
        <v>35</v>
      </c>
      <c r="H23" s="85" t="s">
        <v>15</v>
      </c>
      <c r="I23" s="85"/>
      <c r="J23" s="156" t="s">
        <v>220</v>
      </c>
      <c r="K23" s="195">
        <f t="shared" si="3"/>
        <v>13000</v>
      </c>
      <c r="L23" s="86"/>
      <c r="M23" s="109"/>
      <c r="N23" s="128"/>
      <c r="O23" s="109"/>
      <c r="P23" s="109"/>
      <c r="Q23" s="109">
        <v>13000</v>
      </c>
      <c r="R23" s="109"/>
      <c r="S23" s="88" t="b">
        <v>0</v>
      </c>
      <c r="T23"/>
      <c r="U23" s="5" t="b">
        <f t="shared" si="2"/>
        <v>1</v>
      </c>
    </row>
    <row r="24" spans="1:21" x14ac:dyDescent="0.3">
      <c r="A24" s="81">
        <v>1718</v>
      </c>
      <c r="B24" s="140" t="str" cm="1">
        <f t="array" ref="B24">IFERROR(_xlfn.SWITCH(VLOOKUP($A24,#REF!,2,FALSE),#REF!,#REF!,#REF!,#REF!,#REF!,#REF!,#REF!,#REF!,#REF!,#REF!,#REF!,#REF!,#REF!,#REF!),"")</f>
        <v/>
      </c>
      <c r="C24" s="83" t="s">
        <v>103</v>
      </c>
      <c r="D24" s="144" t="str">
        <f>IFERROR(VLOOKUP($A24,#REF!,3,FALSE),"")</f>
        <v/>
      </c>
      <c r="E24" s="145" t="str">
        <f>IFERROR(VLOOKUP($A24,#REF!,5,FALSE),"")</f>
        <v/>
      </c>
      <c r="F24" s="84" t="s">
        <v>13</v>
      </c>
      <c r="G24" s="84" t="s">
        <v>14</v>
      </c>
      <c r="H24" s="85" t="s">
        <v>15</v>
      </c>
      <c r="I24" s="85"/>
      <c r="J24" s="156" t="s">
        <v>174</v>
      </c>
      <c r="K24" s="195">
        <f t="shared" si="3"/>
        <v>20000</v>
      </c>
      <c r="L24" s="86" t="s">
        <v>222</v>
      </c>
      <c r="M24" s="87">
        <v>14000</v>
      </c>
      <c r="N24" s="126"/>
      <c r="O24" s="87">
        <v>20000</v>
      </c>
      <c r="P24" s="87"/>
      <c r="Q24" s="87"/>
      <c r="R24" s="87"/>
      <c r="S24" s="88" t="b">
        <v>0</v>
      </c>
      <c r="T24"/>
      <c r="U24" s="5" t="b">
        <f t="shared" si="2"/>
        <v>0</v>
      </c>
    </row>
    <row r="25" spans="1:21" x14ac:dyDescent="0.3">
      <c r="A25" s="84">
        <v>2120</v>
      </c>
      <c r="B25" s="140" t="str" cm="1">
        <f t="array" ref="B25">IFERROR(_xlfn.SWITCH(VLOOKUP($A25,#REF!,2,FALSE),#REF!,#REF!,#REF!,#REF!,#REF!,#REF!,#REF!,#REF!,#REF!,#REF!,#REF!,#REF!,#REF!,#REF!),"")</f>
        <v/>
      </c>
      <c r="C25" s="83" t="s">
        <v>125</v>
      </c>
      <c r="D25" s="144" t="str">
        <f>IFERROR(VLOOKUP($A25,#REF!,3,FALSE),"")</f>
        <v/>
      </c>
      <c r="E25" s="145" t="str">
        <f>IFERROR(VLOOKUP($A25,#REF!,5,FALSE),"")</f>
        <v/>
      </c>
      <c r="F25" s="84" t="s">
        <v>18</v>
      </c>
      <c r="G25" s="84" t="s">
        <v>19</v>
      </c>
      <c r="H25" s="85"/>
      <c r="I25" s="84"/>
      <c r="J25" s="158" t="s">
        <v>246</v>
      </c>
      <c r="K25" s="195">
        <f t="shared" si="3"/>
        <v>4000</v>
      </c>
      <c r="L25" s="116"/>
      <c r="M25" s="87"/>
      <c r="N25" s="126">
        <v>4000</v>
      </c>
      <c r="O25" s="87"/>
      <c r="P25" s="87"/>
      <c r="Q25" s="87"/>
      <c r="R25" s="87"/>
      <c r="S25" s="88" t="b">
        <v>0</v>
      </c>
      <c r="U25" s="5" t="b">
        <f t="shared" si="2"/>
        <v>0</v>
      </c>
    </row>
    <row r="26" spans="1:21" x14ac:dyDescent="0.3">
      <c r="A26" s="84">
        <v>2118</v>
      </c>
      <c r="B26" s="140" t="str" cm="1">
        <f t="array" ref="B26">IFERROR(_xlfn.SWITCH(VLOOKUP($A26,#REF!,2,FALSE),#REF!,#REF!,#REF!,#REF!,#REF!,#REF!,#REF!,#REF!,#REF!,#REF!,#REF!,#REF!,#REF!,#REF!),"")</f>
        <v/>
      </c>
      <c r="C26" s="83" t="s">
        <v>124</v>
      </c>
      <c r="D26" s="144" t="str">
        <f>IFERROR(VLOOKUP($A26,#REF!,3,FALSE),"")</f>
        <v/>
      </c>
      <c r="E26" s="145" t="str">
        <f>IFERROR(VLOOKUP($A26,#REF!,5,FALSE),"")</f>
        <v/>
      </c>
      <c r="F26" s="84" t="s">
        <v>1</v>
      </c>
      <c r="G26" s="84" t="s">
        <v>17</v>
      </c>
      <c r="H26" s="85" t="s">
        <v>15</v>
      </c>
      <c r="I26" s="84"/>
      <c r="J26" s="158" t="s">
        <v>50</v>
      </c>
      <c r="K26" s="195">
        <f t="shared" si="3"/>
        <v>25000</v>
      </c>
      <c r="L26" s="116"/>
      <c r="M26" s="87">
        <v>10000</v>
      </c>
      <c r="N26" s="126"/>
      <c r="O26" s="87">
        <v>15000</v>
      </c>
      <c r="P26" s="87"/>
      <c r="Q26" s="87"/>
      <c r="R26" s="87">
        <v>10000</v>
      </c>
      <c r="S26" s="88" t="b">
        <v>0</v>
      </c>
      <c r="T26"/>
      <c r="U26" s="5" t="b">
        <f t="shared" si="2"/>
        <v>1</v>
      </c>
    </row>
    <row r="27" spans="1:21" x14ac:dyDescent="0.3">
      <c r="A27" s="84">
        <v>2365</v>
      </c>
      <c r="B27" s="140" t="str" cm="1">
        <f t="array" ref="B27">IFERROR(_xlfn.SWITCH(VLOOKUP($A27,#REF!,2,FALSE),#REF!,#REF!,#REF!,#REF!,#REF!,#REF!,#REF!,#REF!,#REF!,#REF!,#REF!,#REF!,#REF!,#REF!),"")</f>
        <v/>
      </c>
      <c r="C27" s="83" t="s">
        <v>307</v>
      </c>
      <c r="D27" s="144" t="str">
        <f>IFERROR(VLOOKUP($A27,#REF!,3,FALSE),"")</f>
        <v/>
      </c>
      <c r="E27" s="145" t="str">
        <f>IFERROR(VLOOKUP($A27,#REF!,5,FALSE),"")</f>
        <v/>
      </c>
      <c r="F27" s="132" t="s">
        <v>18</v>
      </c>
      <c r="G27" s="84" t="s">
        <v>19</v>
      </c>
      <c r="H27" s="85"/>
      <c r="I27" s="84"/>
      <c r="J27" s="156" t="s">
        <v>316</v>
      </c>
      <c r="K27" s="195">
        <f t="shared" si="3"/>
        <v>4000</v>
      </c>
      <c r="L27" s="116" t="s">
        <v>186</v>
      </c>
      <c r="M27" s="87"/>
      <c r="N27" s="126">
        <v>4000</v>
      </c>
      <c r="O27" s="87"/>
      <c r="P27" s="87"/>
      <c r="Q27" s="87"/>
      <c r="R27" s="87"/>
      <c r="S27" s="88" t="b">
        <v>0</v>
      </c>
      <c r="T27"/>
      <c r="U27" s="5" t="b">
        <f t="shared" si="2"/>
        <v>0</v>
      </c>
    </row>
    <row r="28" spans="1:21" ht="20.399999999999999" x14ac:dyDescent="0.3">
      <c r="A28" s="132">
        <v>2292</v>
      </c>
      <c r="B28" s="143" t="str" cm="1">
        <f t="array" ref="B28">IFERROR(_xlfn.SWITCH(VLOOKUP($A28,#REF!,2,FALSE),#REF!,#REF!,#REF!,#REF!,#REF!,#REF!,#REF!,#REF!,#REF!,#REF!,#REF!,#REF!,#REF!,#REF!),"")</f>
        <v/>
      </c>
      <c r="C28" s="133" t="s">
        <v>305</v>
      </c>
      <c r="D28" s="150" t="str">
        <f>IFERROR(VLOOKUP($A28,#REF!,3,FALSE),"")</f>
        <v/>
      </c>
      <c r="E28" s="151" t="str">
        <f>IFERROR(VLOOKUP($A28,#REF!,5,FALSE),"")</f>
        <v/>
      </c>
      <c r="F28" s="132" t="s">
        <v>18</v>
      </c>
      <c r="G28" s="132" t="s">
        <v>58</v>
      </c>
      <c r="H28" s="134"/>
      <c r="I28" s="132"/>
      <c r="J28" s="135" t="s">
        <v>221</v>
      </c>
      <c r="K28" s="195">
        <f t="shared" si="3"/>
        <v>25000</v>
      </c>
      <c r="L28" s="136" t="s">
        <v>192</v>
      </c>
      <c r="M28" s="109"/>
      <c r="N28" s="128">
        <v>10000</v>
      </c>
      <c r="O28" s="108">
        <v>15000</v>
      </c>
      <c r="P28" s="108"/>
      <c r="Q28" s="109"/>
      <c r="R28" s="109"/>
      <c r="S28" s="88" t="b">
        <v>1</v>
      </c>
      <c r="T28" s="207" t="s">
        <v>80</v>
      </c>
      <c r="U28" s="5" t="b">
        <f t="shared" si="2"/>
        <v>0</v>
      </c>
    </row>
    <row r="29" spans="1:21" x14ac:dyDescent="0.3">
      <c r="A29" s="81">
        <v>1457</v>
      </c>
      <c r="B29" s="140" t="str" cm="1">
        <f t="array" ref="B29">IFERROR(_xlfn.SWITCH(VLOOKUP($A29,#REF!,2,FALSE),#REF!,#REF!,#REF!,#REF!,#REF!,#REF!,#REF!,#REF!,#REF!,#REF!,#REF!,#REF!,#REF!,#REF!),"")</f>
        <v/>
      </c>
      <c r="C29" s="83" t="s">
        <v>295</v>
      </c>
      <c r="D29" s="144" t="str">
        <f>IFERROR(VLOOKUP($A29,#REF!,3,FALSE),"")</f>
        <v/>
      </c>
      <c r="E29" s="145" t="str">
        <f>IFERROR(VLOOKUP($A29,#REF!,5,FALSE),"")</f>
        <v/>
      </c>
      <c r="F29" s="132" t="s">
        <v>18</v>
      </c>
      <c r="G29" s="84" t="s">
        <v>19</v>
      </c>
      <c r="H29" s="85"/>
      <c r="I29" s="85"/>
      <c r="J29" s="156" t="s">
        <v>33</v>
      </c>
      <c r="K29" s="195">
        <f t="shared" si="3"/>
        <v>40000</v>
      </c>
      <c r="L29" s="86"/>
      <c r="M29" s="87"/>
      <c r="N29" s="126"/>
      <c r="O29" s="87"/>
      <c r="P29" s="87">
        <v>40000</v>
      </c>
      <c r="Q29" s="87"/>
      <c r="R29" s="87"/>
      <c r="S29" s="88" t="b">
        <v>0</v>
      </c>
      <c r="T29"/>
      <c r="U29" s="5" t="b">
        <f t="shared" si="2"/>
        <v>0</v>
      </c>
    </row>
    <row r="30" spans="1:21" x14ac:dyDescent="0.3">
      <c r="A30" s="186">
        <v>1400</v>
      </c>
      <c r="B30" s="187" t="str" cm="1">
        <f t="array" ref="B30">IFERROR(_xlfn.SWITCH(VLOOKUP($A30,#REF!,2,FALSE),#REF!,#REF!,#REF!,#REF!,#REF!,#REF!,#REF!,#REF!,#REF!,#REF!,#REF!,#REF!,#REF!,#REF!),"")</f>
        <v/>
      </c>
      <c r="C30" s="83" t="s">
        <v>102</v>
      </c>
      <c r="D30" s="188" t="str">
        <f>IFERROR(VLOOKUP($A30,#REF!,3,FALSE),"")</f>
        <v/>
      </c>
      <c r="E30" s="189" t="str">
        <f>IFERROR(VLOOKUP($A30,#REF!,5,FALSE),"")</f>
        <v/>
      </c>
      <c r="F30" s="84" t="s">
        <v>1</v>
      </c>
      <c r="G30" s="84" t="s">
        <v>128</v>
      </c>
      <c r="H30" s="85" t="s">
        <v>15</v>
      </c>
      <c r="I30" s="84"/>
      <c r="J30" s="156" t="s">
        <v>73</v>
      </c>
      <c r="K30" s="195">
        <f t="shared" si="3"/>
        <v>70000</v>
      </c>
      <c r="L30" s="90"/>
      <c r="M30" s="108"/>
      <c r="N30" s="127"/>
      <c r="O30" s="108"/>
      <c r="P30" s="108"/>
      <c r="Q30" s="108">
        <v>70000</v>
      </c>
      <c r="R30" s="108"/>
      <c r="S30" s="88" t="b">
        <v>0</v>
      </c>
      <c r="T30"/>
      <c r="U30" s="5" t="b">
        <f t="shared" si="2"/>
        <v>1</v>
      </c>
    </row>
    <row r="31" spans="1:21" x14ac:dyDescent="0.3">
      <c r="A31" s="132">
        <v>1397</v>
      </c>
      <c r="B31" s="143" t="str" cm="1">
        <f t="array" ref="B31">IFERROR(_xlfn.SWITCH(VLOOKUP($A31,#REF!,2,FALSE),#REF!,#REF!,#REF!,#REF!,#REF!,#REF!,#REF!,#REF!,#REF!,#REF!,#REF!,#REF!,#REF!,#REF!),"")</f>
        <v/>
      </c>
      <c r="C31" s="133" t="s">
        <v>117</v>
      </c>
      <c r="D31" s="150" t="str">
        <f>IFERROR(VLOOKUP($A31,#REF!,3,FALSE),"")</f>
        <v/>
      </c>
      <c r="E31" s="151" t="str">
        <f>IFERROR(VLOOKUP($A31,#REF!,5,FALSE),"")</f>
        <v/>
      </c>
      <c r="F31" s="84" t="s">
        <v>13</v>
      </c>
      <c r="G31" s="84" t="s">
        <v>14</v>
      </c>
      <c r="H31" s="134"/>
      <c r="I31" s="132"/>
      <c r="J31" s="135" t="s">
        <v>223</v>
      </c>
      <c r="K31" s="195">
        <f t="shared" si="3"/>
        <v>5000</v>
      </c>
      <c r="L31" s="136" t="s">
        <v>186</v>
      </c>
      <c r="M31" s="109"/>
      <c r="N31" s="128">
        <v>5000</v>
      </c>
      <c r="O31" s="108"/>
      <c r="P31" s="108"/>
      <c r="Q31" s="109"/>
      <c r="R31" s="109"/>
      <c r="S31" s="88" t="b">
        <v>1</v>
      </c>
      <c r="U31" s="5" t="b">
        <f t="shared" si="2"/>
        <v>0</v>
      </c>
    </row>
    <row r="32" spans="1:21" x14ac:dyDescent="0.3">
      <c r="A32" s="84">
        <v>1399</v>
      </c>
      <c r="B32" s="140" t="str" cm="1">
        <f t="array" ref="B32">IFERROR(_xlfn.SWITCH(VLOOKUP($A32,#REF!,2,FALSE),#REF!,#REF!,#REF!,#REF!,#REF!,#REF!,#REF!,#REF!,#REF!,#REF!,#REF!,#REF!,#REF!,#REF!),"")</f>
        <v/>
      </c>
      <c r="C32" s="83" t="s">
        <v>43</v>
      </c>
      <c r="D32" s="144" t="str">
        <f>IFERROR(VLOOKUP($A32,#REF!,3,FALSE),"")</f>
        <v/>
      </c>
      <c r="E32" s="145" t="str">
        <f>IFERROR(VLOOKUP($A32,#REF!,5,FALSE),"")</f>
        <v/>
      </c>
      <c r="F32" s="84" t="s">
        <v>18</v>
      </c>
      <c r="G32" s="84" t="s">
        <v>58</v>
      </c>
      <c r="H32" s="85" t="s">
        <v>15</v>
      </c>
      <c r="I32" s="84"/>
      <c r="J32" s="155" t="s">
        <v>63</v>
      </c>
      <c r="K32" s="196">
        <f t="shared" si="3"/>
        <v>15000</v>
      </c>
      <c r="L32" s="114"/>
      <c r="M32" s="109">
        <v>10000</v>
      </c>
      <c r="N32" s="128"/>
      <c r="O32" s="109">
        <v>15000</v>
      </c>
      <c r="P32" s="109"/>
      <c r="Q32" s="109"/>
      <c r="R32" s="109"/>
      <c r="S32" s="88" t="b">
        <v>0</v>
      </c>
      <c r="T32"/>
      <c r="U32" s="5" t="b">
        <f t="shared" si="2"/>
        <v>0</v>
      </c>
    </row>
    <row r="33" spans="1:21" x14ac:dyDescent="0.3">
      <c r="A33" s="84">
        <v>1398</v>
      </c>
      <c r="B33" s="140" t="str" cm="1">
        <f t="array" ref="B33">IFERROR(_xlfn.SWITCH(VLOOKUP($A33,#REF!,2,FALSE),#REF!,#REF!,#REF!,#REF!,#REF!,#REF!,#REF!,#REF!,#REF!,#REF!,#REF!,#REF!,#REF!,#REF!),"")</f>
        <v/>
      </c>
      <c r="C33" s="112" t="s">
        <v>120</v>
      </c>
      <c r="D33" s="144" t="str">
        <f>IFERROR(VLOOKUP($A33,#REF!,3,FALSE),"")</f>
        <v/>
      </c>
      <c r="E33" s="145" t="str">
        <f>IFERROR(VLOOKUP($A33,#REF!,5,FALSE),"")</f>
        <v/>
      </c>
      <c r="F33" s="84" t="s">
        <v>13</v>
      </c>
      <c r="G33" s="84" t="s">
        <v>14</v>
      </c>
      <c r="H33" s="85" t="s">
        <v>15</v>
      </c>
      <c r="I33" s="113"/>
      <c r="J33" s="156" t="s">
        <v>16</v>
      </c>
      <c r="K33" s="195">
        <f t="shared" si="3"/>
        <v>17000</v>
      </c>
      <c r="L33" s="86"/>
      <c r="M33" s="87"/>
      <c r="N33" s="126">
        <v>7000</v>
      </c>
      <c r="O33" s="87"/>
      <c r="P33" s="87"/>
      <c r="Q33" s="87"/>
      <c r="R33" s="87">
        <v>10000</v>
      </c>
      <c r="S33" s="88" t="b">
        <v>0</v>
      </c>
      <c r="U33" s="5" t="b">
        <f t="shared" si="2"/>
        <v>1</v>
      </c>
    </row>
    <row r="34" spans="1:21" x14ac:dyDescent="0.3">
      <c r="A34" s="132">
        <v>1426</v>
      </c>
      <c r="B34" s="143" t="str" cm="1">
        <f t="array" ref="B34">IFERROR(_xlfn.SWITCH(VLOOKUP($A34,#REF!,2,FALSE),#REF!,#REF!,#REF!,#REF!,#REF!,#REF!,#REF!,#REF!,#REF!,#REF!,#REF!,#REF!,#REF!,#REF!),"")</f>
        <v/>
      </c>
      <c r="C34" s="133" t="s">
        <v>290</v>
      </c>
      <c r="D34" s="150" t="str">
        <f>IFERROR(VLOOKUP($A34,#REF!,3,FALSE),"")</f>
        <v/>
      </c>
      <c r="E34" s="151" t="str">
        <f>IFERROR(VLOOKUP($A34,#REF!,5,FALSE),"")</f>
        <v/>
      </c>
      <c r="F34" s="84" t="s">
        <v>13</v>
      </c>
      <c r="G34" s="84" t="s">
        <v>14</v>
      </c>
      <c r="H34" s="134"/>
      <c r="I34" s="132"/>
      <c r="J34" s="135" t="s">
        <v>250</v>
      </c>
      <c r="K34" s="195">
        <f t="shared" si="3"/>
        <v>2500</v>
      </c>
      <c r="L34" s="136" t="s">
        <v>249</v>
      </c>
      <c r="M34" s="109"/>
      <c r="N34" s="128">
        <v>2500</v>
      </c>
      <c r="O34" s="108"/>
      <c r="P34" s="108"/>
      <c r="Q34" s="109"/>
      <c r="R34" s="109"/>
      <c r="S34" s="88" t="b">
        <v>1</v>
      </c>
      <c r="U34" s="5" t="b">
        <f t="shared" si="2"/>
        <v>0</v>
      </c>
    </row>
    <row r="35" spans="1:21" x14ac:dyDescent="0.3">
      <c r="A35" s="199">
        <v>1426</v>
      </c>
      <c r="B35" s="200" t="str" cm="1">
        <f t="array" ref="B35">IFERROR(_xlfn.SWITCH(VLOOKUP($A35,#REF!,2,FALSE),#REF!,#REF!,#REF!,#REF!,#REF!,#REF!,#REF!,#REF!,#REF!,#REF!,#REF!,#REF!,#REF!,#REF!),"")</f>
        <v/>
      </c>
      <c r="C35" s="133" t="s">
        <v>290</v>
      </c>
      <c r="D35" s="201" t="str">
        <f>IFERROR(VLOOKUP($A35,#REF!,3,FALSE),"")</f>
        <v/>
      </c>
      <c r="E35" s="202" t="str">
        <f>IFERROR(VLOOKUP($A35,#REF!,5,FALSE),"")</f>
        <v/>
      </c>
      <c r="F35" s="203" t="s">
        <v>13</v>
      </c>
      <c r="G35" s="203" t="s">
        <v>24</v>
      </c>
      <c r="H35" s="134"/>
      <c r="I35" s="199"/>
      <c r="J35" s="204" t="s">
        <v>195</v>
      </c>
      <c r="K35" s="195">
        <f t="shared" si="3"/>
        <v>10000</v>
      </c>
      <c r="L35" s="205" t="s">
        <v>186</v>
      </c>
      <c r="M35" s="109"/>
      <c r="N35" s="206">
        <v>10000</v>
      </c>
      <c r="O35" s="108"/>
      <c r="P35" s="108"/>
      <c r="Q35" s="109"/>
      <c r="R35" s="109"/>
      <c r="S35" s="88" t="b">
        <v>1</v>
      </c>
      <c r="U35" s="5" t="b">
        <f t="shared" si="2"/>
        <v>0</v>
      </c>
    </row>
    <row r="36" spans="1:21" x14ac:dyDescent="0.3">
      <c r="A36" s="84">
        <v>1400</v>
      </c>
      <c r="B36" s="140" t="str" cm="1">
        <f t="array" ref="B36">IFERROR(_xlfn.SWITCH(VLOOKUP($A36,#REF!,2,FALSE),#REF!,#REF!,#REF!,#REF!,#REF!,#REF!,#REF!,#REF!,#REF!,#REF!,#REF!,#REF!,#REF!,#REF!),"")</f>
        <v/>
      </c>
      <c r="C36" s="83" t="s">
        <v>102</v>
      </c>
      <c r="D36" s="144" t="str">
        <f>IFERROR(VLOOKUP($A36,#REF!,3,FALSE),"")</f>
        <v/>
      </c>
      <c r="E36" s="145" t="str">
        <f>IFERROR(VLOOKUP($A36,#REF!,5,FALSE),"")</f>
        <v/>
      </c>
      <c r="F36" s="84" t="s">
        <v>13</v>
      </c>
      <c r="G36" s="84" t="s">
        <v>24</v>
      </c>
      <c r="H36" s="85" t="s">
        <v>15</v>
      </c>
      <c r="I36" s="84"/>
      <c r="J36" s="155" t="s">
        <v>33</v>
      </c>
      <c r="K36" s="195">
        <f t="shared" si="3"/>
        <v>40000</v>
      </c>
      <c r="L36" s="114"/>
      <c r="M36" s="119"/>
      <c r="N36" s="129"/>
      <c r="O36" s="109"/>
      <c r="P36" s="109">
        <v>20000</v>
      </c>
      <c r="Q36" s="109">
        <v>20000</v>
      </c>
      <c r="R36" s="109"/>
      <c r="S36" s="88" t="b">
        <v>0</v>
      </c>
      <c r="T36"/>
      <c r="U36" s="5" t="b">
        <f t="shared" si="2"/>
        <v>1</v>
      </c>
    </row>
    <row r="37" spans="1:21" x14ac:dyDescent="0.3">
      <c r="A37" s="81">
        <v>2093</v>
      </c>
      <c r="B37" s="140" t="str" cm="1">
        <f t="array" ref="B37">IFERROR(_xlfn.SWITCH(VLOOKUP($A37,#REF!,2,FALSE),#REF!,#REF!,#REF!,#REF!,#REF!,#REF!,#REF!,#REF!,#REF!,#REF!,#REF!,#REF!,#REF!,#REF!),"")</f>
        <v/>
      </c>
      <c r="C37" s="83" t="s">
        <v>123</v>
      </c>
      <c r="D37" s="144" t="str">
        <f>IFERROR(VLOOKUP($A37,#REF!,3,FALSE),"")</f>
        <v/>
      </c>
      <c r="E37" s="145" t="str">
        <f>IFERROR(VLOOKUP($A37,#REF!,5,FALSE),"")</f>
        <v/>
      </c>
      <c r="F37" s="84" t="s">
        <v>13</v>
      </c>
      <c r="G37" s="84" t="s">
        <v>32</v>
      </c>
      <c r="H37" s="85" t="s">
        <v>15</v>
      </c>
      <c r="I37" s="85"/>
      <c r="J37" s="154" t="s">
        <v>33</v>
      </c>
      <c r="K37" s="195">
        <f t="shared" si="3"/>
        <v>15000</v>
      </c>
      <c r="L37" s="107"/>
      <c r="M37" s="109"/>
      <c r="N37" s="128"/>
      <c r="O37" s="109"/>
      <c r="P37" s="109"/>
      <c r="Q37" s="109">
        <v>15000</v>
      </c>
      <c r="R37" s="109"/>
      <c r="S37" s="88" t="b">
        <v>0</v>
      </c>
      <c r="T37"/>
      <c r="U37" s="5" t="b">
        <f t="shared" si="2"/>
        <v>1</v>
      </c>
    </row>
    <row r="38" spans="1:21" x14ac:dyDescent="0.3">
      <c r="A38" s="81">
        <v>1424</v>
      </c>
      <c r="B38" s="140" t="str" cm="1">
        <f t="array" ref="B38">IFERROR(_xlfn.SWITCH(VLOOKUP($A38,#REF!,2,FALSE),#REF!,#REF!,#REF!,#REF!,#REF!,#REF!,#REF!,#REF!,#REF!,#REF!,#REF!,#REF!,#REF!,#REF!),"")</f>
        <v/>
      </c>
      <c r="C38" s="83" t="s">
        <v>99</v>
      </c>
      <c r="D38" s="144" t="str">
        <f>IFERROR(VLOOKUP($A38,#REF!,3,FALSE),"")</f>
        <v/>
      </c>
      <c r="E38" s="145" t="str">
        <f>IFERROR(VLOOKUP($A38,#REF!,5,FALSE),"")</f>
        <v/>
      </c>
      <c r="F38" s="84" t="s">
        <v>13</v>
      </c>
      <c r="G38" s="84" t="s">
        <v>32</v>
      </c>
      <c r="H38" s="85" t="s">
        <v>15</v>
      </c>
      <c r="I38" s="85"/>
      <c r="J38" s="156" t="s">
        <v>33</v>
      </c>
      <c r="K38" s="195">
        <f t="shared" si="3"/>
        <v>20000</v>
      </c>
      <c r="L38" s="86"/>
      <c r="M38" s="87"/>
      <c r="N38" s="126"/>
      <c r="O38" s="87"/>
      <c r="P38" s="87"/>
      <c r="Q38" s="87"/>
      <c r="R38" s="87">
        <v>20000</v>
      </c>
      <c r="S38" s="88" t="b">
        <v>0</v>
      </c>
      <c r="T38"/>
      <c r="U38" s="5" t="b">
        <f t="shared" si="2"/>
        <v>1</v>
      </c>
    </row>
    <row r="39" spans="1:21" x14ac:dyDescent="0.3">
      <c r="A39" s="84">
        <v>1424</v>
      </c>
      <c r="B39" s="140" t="str" cm="1">
        <f t="array" ref="B39">IFERROR(_xlfn.SWITCH(VLOOKUP($A39,#REF!,2,FALSE),#REF!,#REF!,#REF!,#REF!,#REF!,#REF!,#REF!,#REF!,#REF!,#REF!,#REF!,#REF!,#REF!,#REF!),"")</f>
        <v/>
      </c>
      <c r="C39" s="83" t="s">
        <v>99</v>
      </c>
      <c r="D39" s="144" t="str">
        <f>IFERROR(VLOOKUP($A39,#REF!,3,FALSE),"")</f>
        <v/>
      </c>
      <c r="E39" s="145" t="str">
        <f>IFERROR(VLOOKUP($A39,#REF!,5,FALSE),"")</f>
        <v/>
      </c>
      <c r="F39" s="132" t="s">
        <v>1</v>
      </c>
      <c r="G39" s="84" t="s">
        <v>129</v>
      </c>
      <c r="H39" s="85"/>
      <c r="I39" s="84"/>
      <c r="J39" s="156" t="s">
        <v>262</v>
      </c>
      <c r="K39" s="195">
        <f t="shared" si="3"/>
        <v>0</v>
      </c>
      <c r="L39" s="116" t="s">
        <v>264</v>
      </c>
      <c r="M39" s="87"/>
      <c r="N39" s="126"/>
      <c r="O39" s="87"/>
      <c r="P39" s="87"/>
      <c r="Q39" s="87"/>
      <c r="R39" s="87"/>
      <c r="S39" s="88" t="b">
        <v>0</v>
      </c>
      <c r="T39"/>
      <c r="U39" s="5" t="b">
        <f t="shared" si="2"/>
        <v>0</v>
      </c>
    </row>
    <row r="40" spans="1:21" x14ac:dyDescent="0.3">
      <c r="A40" s="81">
        <v>1425</v>
      </c>
      <c r="B40" s="140" t="str" cm="1">
        <f t="array" ref="B40">IFERROR(_xlfn.SWITCH(VLOOKUP($A40,#REF!,2,FALSE),#REF!,#REF!,#REF!,#REF!,#REF!,#REF!,#REF!,#REF!,#REF!,#REF!,#REF!,#REF!,#REF!,#REF!),"")</f>
        <v/>
      </c>
      <c r="C40" s="83" t="s">
        <v>99</v>
      </c>
      <c r="D40" s="144" t="str">
        <f>IFERROR(VLOOKUP($A40,#REF!,3,FALSE),"")</f>
        <v/>
      </c>
      <c r="E40" s="145" t="str">
        <f>IFERROR(VLOOKUP($A40,#REF!,5,FALSE),"")</f>
        <v/>
      </c>
      <c r="F40" s="84" t="s">
        <v>18</v>
      </c>
      <c r="G40" s="84" t="s">
        <v>19</v>
      </c>
      <c r="H40" s="85"/>
      <c r="I40" s="85"/>
      <c r="J40" s="156" t="s">
        <v>33</v>
      </c>
      <c r="K40" s="195">
        <f t="shared" si="3"/>
        <v>25000</v>
      </c>
      <c r="L40" s="86"/>
      <c r="M40" s="87"/>
      <c r="N40" s="126"/>
      <c r="O40" s="87"/>
      <c r="P40" s="87"/>
      <c r="Q40" s="87"/>
      <c r="R40" s="87">
        <v>25000</v>
      </c>
      <c r="S40" s="88" t="b">
        <v>0</v>
      </c>
      <c r="T40"/>
      <c r="U40" s="5" t="b">
        <f t="shared" si="2"/>
        <v>1</v>
      </c>
    </row>
    <row r="41" spans="1:21" x14ac:dyDescent="0.3">
      <c r="A41" s="84">
        <v>1430</v>
      </c>
      <c r="B41" s="140" t="str" cm="1">
        <f t="array" ref="B41">IFERROR(_xlfn.SWITCH(VLOOKUP($A41,#REF!,2,FALSE),#REF!,#REF!,#REF!,#REF!,#REF!,#REF!,#REF!,#REF!,#REF!,#REF!,#REF!,#REF!,#REF!,#REF!),"")</f>
        <v/>
      </c>
      <c r="C41" s="133" t="s">
        <v>294</v>
      </c>
      <c r="D41" s="215" t="str">
        <f>IFERROR(VLOOKUP($A41,#REF!,3,FALSE),"")</f>
        <v/>
      </c>
      <c r="E41" s="216" t="str">
        <f>IFERROR(VLOOKUP($A41,#REF!,5,FALSE),"")</f>
        <v/>
      </c>
      <c r="F41" s="84" t="s">
        <v>13</v>
      </c>
      <c r="G41" s="84" t="s">
        <v>14</v>
      </c>
      <c r="H41" s="134"/>
      <c r="I41" s="84"/>
      <c r="J41" s="156" t="s">
        <v>283</v>
      </c>
      <c r="K41" s="195">
        <f t="shared" si="3"/>
        <v>3000</v>
      </c>
      <c r="L41" s="90" t="s">
        <v>226</v>
      </c>
      <c r="M41" s="109"/>
      <c r="N41" s="126">
        <v>3000</v>
      </c>
      <c r="O41" s="108"/>
      <c r="P41" s="108"/>
      <c r="Q41" s="109"/>
      <c r="R41" s="109"/>
      <c r="S41" s="88" t="b">
        <v>0</v>
      </c>
      <c r="U41" s="5" t="b">
        <f t="shared" si="2"/>
        <v>0</v>
      </c>
    </row>
    <row r="42" spans="1:21" x14ac:dyDescent="0.3">
      <c r="A42" s="122">
        <v>2021</v>
      </c>
      <c r="B42" s="239" t="str" cm="1">
        <f t="array" ref="B42">IFERROR(_xlfn.SWITCH(VLOOKUP($A42,#REF!,2,FALSE),#REF!,#REF!,#REF!,#REF!,#REF!,#REF!,#REF!,#REF!,#REF!,#REF!,#REF!,#REF!,#REF!,#REF!),"")</f>
        <v/>
      </c>
      <c r="C42" s="123" t="s">
        <v>299</v>
      </c>
      <c r="D42" s="94" t="str">
        <f>IFERROR(VLOOKUP($A42,#REF!,3,FALSE),"")</f>
        <v/>
      </c>
      <c r="E42" s="95" t="str">
        <f>IFERROR(VLOOKUP($A42,#REF!,5,FALSE),"")</f>
        <v/>
      </c>
      <c r="F42" s="122" t="s">
        <v>13</v>
      </c>
      <c r="G42" s="122" t="s">
        <v>24</v>
      </c>
      <c r="H42" s="85" t="s">
        <v>15</v>
      </c>
      <c r="I42" s="122"/>
      <c r="J42" s="160" t="s">
        <v>248</v>
      </c>
      <c r="K42" s="240">
        <f t="shared" si="3"/>
        <v>13000</v>
      </c>
      <c r="L42" s="86"/>
      <c r="M42" s="87"/>
      <c r="N42" s="87">
        <v>13000</v>
      </c>
      <c r="O42" s="87"/>
      <c r="P42" s="87"/>
      <c r="Q42" s="87"/>
      <c r="R42" s="87"/>
      <c r="S42" s="88" t="b">
        <v>0</v>
      </c>
      <c r="T42"/>
      <c r="U42" s="5" t="b">
        <f t="shared" si="2"/>
        <v>0</v>
      </c>
    </row>
    <row r="43" spans="1:21" x14ac:dyDescent="0.3">
      <c r="A43" s="209">
        <v>1427</v>
      </c>
      <c r="B43" s="210" t="str" cm="1">
        <f t="array" ref="B43">IFERROR(_xlfn.SWITCH(VLOOKUP($A43,#REF!,2,FALSE),#REF!,#REF!,#REF!,#REF!,#REF!,#REF!,#REF!,#REF!,#REF!,#REF!,#REF!,#REF!,#REF!,#REF!),"")</f>
        <v/>
      </c>
      <c r="C43" s="83" t="s">
        <v>291</v>
      </c>
      <c r="D43" s="212" t="str">
        <f>IFERROR(VLOOKUP($A43,#REF!,3,FALSE),"")</f>
        <v/>
      </c>
      <c r="E43" s="213" t="str">
        <f>IFERROR(VLOOKUP($A43,#REF!,5,FALSE),"")</f>
        <v/>
      </c>
      <c r="F43" s="211" t="s">
        <v>1</v>
      </c>
      <c r="G43" s="211" t="s">
        <v>17</v>
      </c>
      <c r="H43" s="85" t="s">
        <v>15</v>
      </c>
      <c r="I43" s="214"/>
      <c r="J43" s="157" t="s">
        <v>56</v>
      </c>
      <c r="K43" s="195">
        <f t="shared" si="3"/>
        <v>10000</v>
      </c>
      <c r="L43" s="107"/>
      <c r="M43" s="109"/>
      <c r="N43" s="128"/>
      <c r="O43" s="109"/>
      <c r="P43" s="109"/>
      <c r="Q43" s="109"/>
      <c r="R43" s="109">
        <v>10000</v>
      </c>
      <c r="S43" s="88" t="b">
        <v>0</v>
      </c>
      <c r="T43" t="s">
        <v>12</v>
      </c>
      <c r="U43" s="5" t="b">
        <f t="shared" si="2"/>
        <v>1</v>
      </c>
    </row>
    <row r="44" spans="1:21" x14ac:dyDescent="0.3">
      <c r="A44" s="84">
        <v>1850</v>
      </c>
      <c r="B44" s="140" t="str" cm="1">
        <f t="array" ref="B44">IFERROR(_xlfn.SWITCH(VLOOKUP($A44,#REF!,2,FALSE),#REF!,#REF!,#REF!,#REF!,#REF!,#REF!,#REF!,#REF!,#REF!,#REF!,#REF!,#REF!,#REF!,#REF!),"")</f>
        <v/>
      </c>
      <c r="C44" s="112" t="s">
        <v>296</v>
      </c>
      <c r="D44" s="144" t="str">
        <f>IFERROR(VLOOKUP($A44,#REF!,3,FALSE),"")</f>
        <v/>
      </c>
      <c r="E44" s="145" t="str">
        <f>IFERROR(VLOOKUP($A44,#REF!,5,FALSE),"")</f>
        <v/>
      </c>
      <c r="F44" s="84" t="s">
        <v>13</v>
      </c>
      <c r="G44" s="105" t="s">
        <v>24</v>
      </c>
      <c r="H44" s="85" t="s">
        <v>15</v>
      </c>
      <c r="I44" s="113"/>
      <c r="J44" s="154" t="s">
        <v>33</v>
      </c>
      <c r="K44" s="195">
        <f t="shared" si="3"/>
        <v>15000</v>
      </c>
      <c r="L44" s="107"/>
      <c r="M44" s="109"/>
      <c r="N44" s="128"/>
      <c r="O44" s="109"/>
      <c r="P44" s="109">
        <v>15000</v>
      </c>
      <c r="Q44" s="109"/>
      <c r="R44" s="109"/>
      <c r="S44" s="88" t="b">
        <v>0</v>
      </c>
      <c r="T44"/>
      <c r="U44" s="5" t="b">
        <f t="shared" si="2"/>
        <v>0</v>
      </c>
    </row>
    <row r="45" spans="1:21" x14ac:dyDescent="0.3">
      <c r="A45" s="81">
        <v>2032</v>
      </c>
      <c r="B45" s="140" t="str" cm="1">
        <f t="array" ref="B45">IFERROR(_xlfn.SWITCH(VLOOKUP($A45,#REF!,2,FALSE),#REF!,#REF!,#REF!,#REF!,#REF!,#REF!,#REF!,#REF!,#REF!,#REF!,#REF!,#REF!,#REF!,#REF!),"")</f>
        <v/>
      </c>
      <c r="C45" s="83" t="s">
        <v>38</v>
      </c>
      <c r="D45" s="144" t="str">
        <f>IFERROR(VLOOKUP($A45,#REF!,3,FALSE),"")</f>
        <v/>
      </c>
      <c r="E45" s="145" t="str">
        <f>IFERROR(VLOOKUP($A45,#REF!,5,FALSE),"")</f>
        <v/>
      </c>
      <c r="F45" s="84" t="s">
        <v>13</v>
      </c>
      <c r="G45" s="84" t="s">
        <v>24</v>
      </c>
      <c r="H45" s="85"/>
      <c r="I45" s="84"/>
      <c r="J45" s="158" t="s">
        <v>33</v>
      </c>
      <c r="K45" s="195">
        <f t="shared" si="3"/>
        <v>20000</v>
      </c>
      <c r="L45" s="116"/>
      <c r="M45" s="87">
        <v>13000</v>
      </c>
      <c r="N45" s="126"/>
      <c r="O45" s="87"/>
      <c r="P45" s="87">
        <v>20000</v>
      </c>
      <c r="Q45" s="87"/>
      <c r="R45" s="87"/>
      <c r="S45" s="88" t="b">
        <v>0</v>
      </c>
      <c r="T45"/>
      <c r="U45" s="5" t="b">
        <f t="shared" si="2"/>
        <v>0</v>
      </c>
    </row>
    <row r="46" spans="1:21" x14ac:dyDescent="0.3">
      <c r="A46" s="203">
        <v>2118</v>
      </c>
      <c r="B46" s="217" t="str" cm="1">
        <f t="array" ref="B46">IFERROR(_xlfn.SWITCH(VLOOKUP($A46,#REF!,2,FALSE),#REF!,#REF!,#REF!,#REF!,#REF!,#REF!,#REF!,#REF!,#REF!,#REF!,#REF!,#REF!,#REF!,#REF!),"")</f>
        <v/>
      </c>
      <c r="C46" s="83" t="s">
        <v>124</v>
      </c>
      <c r="D46" s="218" t="str">
        <f>IFERROR(VLOOKUP($A46,#REF!,3,FALSE),"")</f>
        <v/>
      </c>
      <c r="E46" s="219" t="str">
        <f>IFERROR(VLOOKUP($A46,#REF!,5,FALSE),"")</f>
        <v/>
      </c>
      <c r="F46" s="203" t="s">
        <v>18</v>
      </c>
      <c r="G46" s="203" t="s">
        <v>58</v>
      </c>
      <c r="H46" s="84"/>
      <c r="I46" s="221"/>
      <c r="J46" s="229" t="s">
        <v>209</v>
      </c>
      <c r="K46" s="195">
        <f t="shared" si="3"/>
        <v>15000</v>
      </c>
      <c r="L46" s="230"/>
      <c r="M46" s="87">
        <v>10000</v>
      </c>
      <c r="N46" s="227"/>
      <c r="O46" s="227">
        <v>15000</v>
      </c>
      <c r="P46" s="87"/>
      <c r="Q46" s="120"/>
      <c r="R46" s="120"/>
      <c r="S46" s="88" t="b">
        <v>0</v>
      </c>
      <c r="T46"/>
      <c r="U46" s="5" t="b">
        <f t="shared" si="2"/>
        <v>0</v>
      </c>
    </row>
    <row r="47" spans="1:21" x14ac:dyDescent="0.3">
      <c r="A47" s="84">
        <v>2365</v>
      </c>
      <c r="B47" s="140" t="str" cm="1">
        <f t="array" ref="B47">IFERROR(_xlfn.SWITCH(VLOOKUP($A47,#REF!,2,FALSE),#REF!,#REF!,#REF!,#REF!,#REF!,#REF!,#REF!,#REF!,#REF!,#REF!,#REF!,#REF!,#REF!,#REF!),"")</f>
        <v/>
      </c>
      <c r="C47" s="83" t="s">
        <v>307</v>
      </c>
      <c r="D47" s="144" t="str">
        <f>IFERROR(VLOOKUP($A47,#REF!,3,FALSE),"")</f>
        <v/>
      </c>
      <c r="E47" s="145" t="str">
        <f>IFERROR(VLOOKUP($A47,#REF!,5,FALSE),"")</f>
        <v/>
      </c>
      <c r="F47" s="132" t="s">
        <v>18</v>
      </c>
      <c r="G47" s="84" t="s">
        <v>19</v>
      </c>
      <c r="H47" s="85"/>
      <c r="I47" s="84"/>
      <c r="J47" s="156" t="s">
        <v>33</v>
      </c>
      <c r="K47" s="195">
        <f t="shared" si="3"/>
        <v>37000</v>
      </c>
      <c r="L47" s="116"/>
      <c r="M47" s="87"/>
      <c r="N47" s="126"/>
      <c r="O47" s="87"/>
      <c r="P47" s="87"/>
      <c r="Q47" s="87">
        <v>37000</v>
      </c>
      <c r="R47" s="87"/>
      <c r="S47" s="88" t="b">
        <v>0</v>
      </c>
      <c r="T47"/>
      <c r="U47" s="5" t="b">
        <f t="shared" si="2"/>
        <v>1</v>
      </c>
    </row>
    <row r="48" spans="1:21" ht="20.399999999999999" x14ac:dyDescent="0.3">
      <c r="A48" s="84">
        <v>2118</v>
      </c>
      <c r="B48" s="140" t="s">
        <v>132</v>
      </c>
      <c r="C48" s="83" t="s">
        <v>214</v>
      </c>
      <c r="D48" s="144" t="s">
        <v>5</v>
      </c>
      <c r="E48" s="145" t="s">
        <v>6</v>
      </c>
      <c r="F48" s="84" t="s">
        <v>13</v>
      </c>
      <c r="G48" s="84" t="s">
        <v>24</v>
      </c>
      <c r="H48" s="84"/>
      <c r="I48" s="107"/>
      <c r="J48" s="158" t="s">
        <v>203</v>
      </c>
      <c r="K48" s="195">
        <f t="shared" si="3"/>
        <v>15000</v>
      </c>
      <c r="L48" s="158" t="s">
        <v>210</v>
      </c>
      <c r="M48" s="87"/>
      <c r="N48" s="126">
        <v>15000</v>
      </c>
      <c r="O48" s="87"/>
      <c r="P48" s="87"/>
      <c r="Q48" s="120"/>
      <c r="R48" s="120"/>
      <c r="S48" s="88" t="b">
        <v>0</v>
      </c>
      <c r="U48" s="5" t="b">
        <f t="shared" si="2"/>
        <v>0</v>
      </c>
    </row>
    <row r="49" spans="1:21" ht="19.2" x14ac:dyDescent="0.3">
      <c r="A49" s="132">
        <v>2118</v>
      </c>
      <c r="B49" s="143" t="str" cm="1">
        <f t="array" ref="B49">IFERROR(_xlfn.SWITCH(VLOOKUP($A49,#REF!,2,FALSE),#REF!,#REF!,#REF!,#REF!,#REF!,#REF!,#REF!,#REF!,#REF!,#REF!,#REF!,#REF!,#REF!,#REF!),"")</f>
        <v/>
      </c>
      <c r="C49" s="133" t="s">
        <v>215</v>
      </c>
      <c r="D49" s="150" t="str">
        <f>IFERROR(VLOOKUP($A49,#REF!,3,FALSE),"")</f>
        <v/>
      </c>
      <c r="E49" s="151" t="str">
        <f>IFERROR(VLOOKUP($A49,#REF!,5,FALSE),"")</f>
        <v/>
      </c>
      <c r="F49" s="84" t="s">
        <v>13</v>
      </c>
      <c r="G49" s="84" t="s">
        <v>24</v>
      </c>
      <c r="H49" s="134"/>
      <c r="I49" s="132"/>
      <c r="J49" s="135" t="s">
        <v>203</v>
      </c>
      <c r="K49" s="195">
        <f t="shared" si="3"/>
        <v>15000</v>
      </c>
      <c r="L49" s="162" t="s">
        <v>210</v>
      </c>
      <c r="M49" s="109"/>
      <c r="N49" s="128">
        <v>15000</v>
      </c>
      <c r="O49" s="108"/>
      <c r="P49" s="108"/>
      <c r="Q49" s="109"/>
      <c r="R49" s="109"/>
      <c r="S49" s="88" t="b">
        <v>1</v>
      </c>
      <c r="U49" s="5" t="b">
        <f t="shared" si="2"/>
        <v>0</v>
      </c>
    </row>
    <row r="50" spans="1:21" ht="28.8" x14ac:dyDescent="0.3">
      <c r="A50" s="84">
        <v>2211</v>
      </c>
      <c r="B50" s="140" t="str" cm="1">
        <f t="array" ref="B50">IFERROR(_xlfn.SWITCH(VLOOKUP($A50,#REF!,2,FALSE),#REF!,#REF!,#REF!,#REF!,#REF!,#REF!,#REF!,#REF!,#REF!,#REF!,#REF!,#REF!,#REF!,#REF!),"")</f>
        <v/>
      </c>
      <c r="C50" s="83" t="s">
        <v>302</v>
      </c>
      <c r="D50" s="144" t="str">
        <f>IFERROR(VLOOKUP($A50,#REF!,3,FALSE),"")</f>
        <v/>
      </c>
      <c r="E50" s="145" t="str">
        <f>IFERROR(VLOOKUP($A50,#REF!,5,FALSE),"")</f>
        <v/>
      </c>
      <c r="F50" s="84" t="s">
        <v>13</v>
      </c>
      <c r="G50" s="84" t="s">
        <v>14</v>
      </c>
      <c r="H50" s="85"/>
      <c r="I50" s="84"/>
      <c r="J50" s="154" t="s">
        <v>205</v>
      </c>
      <c r="K50" s="195">
        <f t="shared" si="3"/>
        <v>3000</v>
      </c>
      <c r="L50" s="162" t="s">
        <v>239</v>
      </c>
      <c r="M50" s="109"/>
      <c r="N50" s="128">
        <v>3000</v>
      </c>
      <c r="O50" s="108"/>
      <c r="P50" s="108"/>
      <c r="Q50" s="109"/>
      <c r="R50" s="109"/>
      <c r="S50" s="88" t="b">
        <v>0</v>
      </c>
      <c r="U50" s="5" t="b">
        <f t="shared" si="2"/>
        <v>0</v>
      </c>
    </row>
    <row r="51" spans="1:21" x14ac:dyDescent="0.3">
      <c r="A51" s="170">
        <v>2276</v>
      </c>
      <c r="B51" s="171" t="str" cm="1">
        <f t="array" ref="B51">IFERROR(_xlfn.SWITCH(VLOOKUP($A51,#REF!,2,FALSE),#REF!,#REF!,#REF!,#REF!,#REF!,#REF!,#REF!,#REF!,#REF!,#REF!,#REF!,#REF!,#REF!,#REF!),"")</f>
        <v/>
      </c>
      <c r="C51" s="172" t="s">
        <v>303</v>
      </c>
      <c r="D51" s="173" t="str">
        <f>IFERROR(VLOOKUP($A51,#REF!,3,FALSE),"")</f>
        <v/>
      </c>
      <c r="E51" s="174" t="str">
        <f>IFERROR(VLOOKUP($A51,#REF!,5,FALSE),"")</f>
        <v/>
      </c>
      <c r="F51" s="163" t="s">
        <v>13</v>
      </c>
      <c r="G51" s="163" t="s">
        <v>14</v>
      </c>
      <c r="H51" s="85" t="s">
        <v>15</v>
      </c>
      <c r="I51" s="175"/>
      <c r="J51" s="168" t="s">
        <v>218</v>
      </c>
      <c r="K51" s="195">
        <f t="shared" si="3"/>
        <v>25000</v>
      </c>
      <c r="L51" s="90"/>
      <c r="M51" s="108" t="s">
        <v>84</v>
      </c>
      <c r="N51" s="127">
        <v>10000</v>
      </c>
      <c r="O51" s="108"/>
      <c r="P51" s="108"/>
      <c r="Q51" s="108"/>
      <c r="R51" s="108">
        <v>15000</v>
      </c>
      <c r="S51" s="88" t="b">
        <v>0</v>
      </c>
      <c r="U51" s="5" t="b">
        <f t="shared" si="2"/>
        <v>1</v>
      </c>
    </row>
    <row r="52" spans="1:21" ht="20.399999999999999" x14ac:dyDescent="0.3">
      <c r="A52" s="84">
        <v>2072</v>
      </c>
      <c r="B52" s="140" t="str" cm="1">
        <f t="array" ref="B52">IFERROR(_xlfn.SWITCH(VLOOKUP($A52,#REF!,2,FALSE),#REF!,#REF!,#REF!,#REF!,#REF!,#REF!,#REF!,#REF!,#REF!,#REF!,#REF!,#REF!,#REF!,#REF!),"")</f>
        <v/>
      </c>
      <c r="C52" s="83" t="s">
        <v>301</v>
      </c>
      <c r="D52" s="144" t="str">
        <f>IFERROR(VLOOKUP($A52,#REF!,3,FALSE),"")</f>
        <v/>
      </c>
      <c r="E52" s="145" t="str">
        <f>IFERROR(VLOOKUP($A52,#REF!,5,FALSE),"")</f>
        <v/>
      </c>
      <c r="F52" s="84" t="s">
        <v>13</v>
      </c>
      <c r="G52" s="84" t="s">
        <v>24</v>
      </c>
      <c r="H52" s="85"/>
      <c r="I52" s="84"/>
      <c r="J52" s="154" t="s">
        <v>202</v>
      </c>
      <c r="K52" s="195">
        <f t="shared" si="3"/>
        <v>58500</v>
      </c>
      <c r="L52" s="136" t="s">
        <v>186</v>
      </c>
      <c r="M52" s="109"/>
      <c r="N52" s="128">
        <v>18500</v>
      </c>
      <c r="O52" s="108">
        <v>15000</v>
      </c>
      <c r="P52" s="108">
        <v>25000</v>
      </c>
      <c r="Q52" s="109"/>
      <c r="R52" s="109"/>
      <c r="S52" s="88" t="b">
        <v>0</v>
      </c>
      <c r="U52" s="5" t="b">
        <f t="shared" si="2"/>
        <v>0</v>
      </c>
    </row>
    <row r="53" spans="1:21" x14ac:dyDescent="0.3">
      <c r="A53" s="81">
        <v>1474</v>
      </c>
      <c r="B53" s="140" t="str" cm="1">
        <f t="array" ref="B53">IFERROR(_xlfn.SWITCH(VLOOKUP($A53,#REF!,2,FALSE),#REF!,#REF!,#REF!,#REF!,#REF!,#REF!,#REF!,#REF!,#REF!,#REF!,#REF!,#REF!,#REF!,#REF!),"")</f>
        <v/>
      </c>
      <c r="C53" s="83" t="s">
        <v>99</v>
      </c>
      <c r="D53" s="144" t="str">
        <f>IFERROR(VLOOKUP($A53,#REF!,3,FALSE),"")</f>
        <v/>
      </c>
      <c r="E53" s="145" t="str">
        <f>IFERROR(VLOOKUP($A53,#REF!,5,FALSE),"")</f>
        <v/>
      </c>
      <c r="F53" s="84" t="s">
        <v>18</v>
      </c>
      <c r="G53" s="84" t="s">
        <v>19</v>
      </c>
      <c r="H53" s="85"/>
      <c r="I53" s="85"/>
      <c r="J53" s="156" t="s">
        <v>33</v>
      </c>
      <c r="K53" s="195">
        <f t="shared" si="3"/>
        <v>27000</v>
      </c>
      <c r="L53" s="86"/>
      <c r="M53" s="87"/>
      <c r="N53" s="126"/>
      <c r="O53" s="87"/>
      <c r="P53" s="87"/>
      <c r="Q53" s="87"/>
      <c r="R53" s="87">
        <v>27000</v>
      </c>
      <c r="S53" s="88" t="b">
        <v>0</v>
      </c>
      <c r="T53"/>
      <c r="U53" s="5" t="b">
        <f t="shared" si="2"/>
        <v>1</v>
      </c>
    </row>
    <row r="54" spans="1:21" x14ac:dyDescent="0.3">
      <c r="A54" s="177">
        <v>1487</v>
      </c>
      <c r="B54" s="178" t="str" cm="1">
        <f t="array" ref="B54">IFERROR(_xlfn.SWITCH(VLOOKUP($A54,#REF!,2,FALSE),#REF!,#REF!,#REF!,#REF!,#REF!,#REF!,#REF!,#REF!,#REF!,#REF!,#REF!,#REF!,#REF!,#REF!),"")</f>
        <v/>
      </c>
      <c r="C54" s="185" t="s">
        <v>104</v>
      </c>
      <c r="D54" s="179" t="str">
        <f>IFERROR(VLOOKUP($A54,#REF!,3,FALSE),"")</f>
        <v/>
      </c>
      <c r="E54" s="180" t="str">
        <f>IFERROR(VLOOKUP($A54,#REF!,5,FALSE),"")</f>
        <v/>
      </c>
      <c r="F54" s="132" t="s">
        <v>1</v>
      </c>
      <c r="G54" s="132" t="s">
        <v>35</v>
      </c>
      <c r="H54" s="121"/>
      <c r="I54" s="132"/>
      <c r="J54" s="181" t="s">
        <v>90</v>
      </c>
      <c r="K54" s="197">
        <f t="shared" si="3"/>
        <v>30000</v>
      </c>
      <c r="L54" s="182"/>
      <c r="M54" s="108"/>
      <c r="N54" s="183"/>
      <c r="O54" s="108"/>
      <c r="P54" s="108"/>
      <c r="Q54" s="108"/>
      <c r="R54" s="108">
        <v>30000</v>
      </c>
      <c r="S54" s="88" t="b">
        <v>0</v>
      </c>
      <c r="T54"/>
      <c r="U54" s="5" t="b">
        <f t="shared" si="2"/>
        <v>1</v>
      </c>
    </row>
    <row r="55" spans="1:21" x14ac:dyDescent="0.3">
      <c r="A55" s="81">
        <v>1396</v>
      </c>
      <c r="B55" s="140" t="str" cm="1">
        <f t="array" ref="B55">IFERROR(_xlfn.SWITCH(VLOOKUP($A55,#REF!,2,FALSE),#REF!,#REF!,#REF!,#REF!,#REF!,#REF!,#REF!,#REF!,#REF!,#REF!,#REF!,#REF!,#REF!,#REF!),"")</f>
        <v/>
      </c>
      <c r="C55" s="83" t="s">
        <v>116</v>
      </c>
      <c r="D55" s="43" t="str">
        <f>IFERROR(VLOOKUP($A55,#REF!,3,FALSE),"")</f>
        <v/>
      </c>
      <c r="E55" s="59" t="str">
        <f>IFERROR(VLOOKUP($A55,#REF!,5,FALSE),"")</f>
        <v/>
      </c>
      <c r="F55" s="84" t="s">
        <v>13</v>
      </c>
      <c r="G55" s="84" t="s">
        <v>24</v>
      </c>
      <c r="H55" s="85" t="s">
        <v>15</v>
      </c>
      <c r="I55" s="85"/>
      <c r="J55" s="154" t="s">
        <v>33</v>
      </c>
      <c r="K55" s="195">
        <f t="shared" si="3"/>
        <v>20000</v>
      </c>
      <c r="L55" s="107"/>
      <c r="M55" s="109"/>
      <c r="N55" s="128"/>
      <c r="O55" s="222">
        <v>20000</v>
      </c>
      <c r="P55" s="109" t="s">
        <v>274</v>
      </c>
      <c r="Q55" s="109"/>
      <c r="R55" s="109"/>
      <c r="S55" s="88" t="b">
        <v>0</v>
      </c>
      <c r="T55"/>
      <c r="U55" s="5" t="b">
        <f t="shared" si="2"/>
        <v>0</v>
      </c>
    </row>
    <row r="56" spans="1:21" x14ac:dyDescent="0.3">
      <c r="A56" s="81">
        <v>1399</v>
      </c>
      <c r="B56" s="140" t="str" cm="1">
        <f t="array" ref="B56">IFERROR(_xlfn.SWITCH(VLOOKUP($A56,#REF!,2,FALSE),#REF!,#REF!,#REF!,#REF!,#REF!,#REF!,#REF!,#REF!,#REF!,#REF!,#REF!,#REF!,#REF!,#REF!),"")</f>
        <v/>
      </c>
      <c r="C56" s="83" t="s">
        <v>97</v>
      </c>
      <c r="D56" s="144" t="str">
        <f>IFERROR(VLOOKUP($A56,#REF!,3,FALSE),"")</f>
        <v/>
      </c>
      <c r="E56" s="145" t="str">
        <f>IFERROR(VLOOKUP($A56,#REF!,5,FALSE),"")</f>
        <v/>
      </c>
      <c r="F56" s="84" t="s">
        <v>13</v>
      </c>
      <c r="G56" s="84" t="s">
        <v>32</v>
      </c>
      <c r="H56" s="85" t="s">
        <v>15</v>
      </c>
      <c r="I56" s="85"/>
      <c r="J56" s="157" t="s">
        <v>33</v>
      </c>
      <c r="K56" s="195">
        <f t="shared" si="3"/>
        <v>5000</v>
      </c>
      <c r="L56" s="115"/>
      <c r="M56" s="87">
        <v>10000</v>
      </c>
      <c r="N56" s="126"/>
      <c r="O56" s="87">
        <v>5000</v>
      </c>
      <c r="P56" s="87"/>
      <c r="Q56" s="87"/>
      <c r="R56" s="87"/>
      <c r="S56" s="88" t="b">
        <v>0</v>
      </c>
      <c r="T56"/>
      <c r="U56" s="5" t="b">
        <f t="shared" si="2"/>
        <v>0</v>
      </c>
    </row>
    <row r="57" spans="1:21" x14ac:dyDescent="0.3">
      <c r="A57" s="84">
        <v>1396</v>
      </c>
      <c r="B57" s="140" t="str" cm="1">
        <f t="array" ref="B57">IFERROR(_xlfn.SWITCH(VLOOKUP($A57,#REF!,2,FALSE),#REF!,#REF!,#REF!,#REF!,#REF!,#REF!,#REF!,#REF!,#REF!,#REF!,#REF!,#REF!,#REF!,#REF!),"")</f>
        <v/>
      </c>
      <c r="C57" s="89" t="s">
        <v>116</v>
      </c>
      <c r="D57" s="144" t="str">
        <f>IFERROR(VLOOKUP($A57,#REF!,3,FALSE),"")</f>
        <v/>
      </c>
      <c r="E57" s="145" t="str">
        <f>IFERROR(VLOOKUP($A57,#REF!,5,FALSE),"")</f>
        <v/>
      </c>
      <c r="F57" s="84" t="s">
        <v>1</v>
      </c>
      <c r="G57" s="84" t="s">
        <v>44</v>
      </c>
      <c r="H57" s="85" t="s">
        <v>15</v>
      </c>
      <c r="I57" s="84"/>
      <c r="J57" s="156" t="s">
        <v>244</v>
      </c>
      <c r="K57" s="195">
        <f t="shared" si="3"/>
        <v>15000</v>
      </c>
      <c r="L57" s="86"/>
      <c r="M57" s="87">
        <v>30000</v>
      </c>
      <c r="N57" s="126"/>
      <c r="O57" s="87"/>
      <c r="P57" s="87">
        <v>15000</v>
      </c>
      <c r="Q57" s="87"/>
      <c r="R57" s="87"/>
      <c r="S57" s="88" t="b">
        <v>0</v>
      </c>
      <c r="T57"/>
      <c r="U57" s="5" t="b">
        <f t="shared" si="2"/>
        <v>0</v>
      </c>
    </row>
    <row r="58" spans="1:21" x14ac:dyDescent="0.3">
      <c r="A58" s="84">
        <v>1718</v>
      </c>
      <c r="B58" s="140" t="str" cm="1">
        <f t="array" ref="B58">IFERROR(_xlfn.SWITCH(VLOOKUP($A58,#REF!,2,FALSE),#REF!,#REF!,#REF!,#REF!,#REF!,#REF!,#REF!,#REF!,#REF!,#REF!,#REF!,#REF!,#REF!,#REF!),"")</f>
        <v/>
      </c>
      <c r="C58" s="83" t="s">
        <v>103</v>
      </c>
      <c r="D58" s="144" t="str">
        <f>IFERROR(VLOOKUP($A58,#REF!,3,FALSE),"")</f>
        <v/>
      </c>
      <c r="E58" s="145" t="str">
        <f>IFERROR(VLOOKUP($A58,#REF!,5,FALSE),"")</f>
        <v/>
      </c>
      <c r="F58" s="84" t="s">
        <v>13</v>
      </c>
      <c r="G58" s="84" t="s">
        <v>36</v>
      </c>
      <c r="H58" s="85" t="s">
        <v>15</v>
      </c>
      <c r="I58" s="84"/>
      <c r="J58" s="158" t="s">
        <v>45</v>
      </c>
      <c r="K58" s="195">
        <f t="shared" si="3"/>
        <v>35000</v>
      </c>
      <c r="L58" s="116"/>
      <c r="M58" s="87"/>
      <c r="N58" s="126"/>
      <c r="O58" s="87"/>
      <c r="P58" s="87">
        <v>35000</v>
      </c>
      <c r="Q58" s="87"/>
      <c r="R58" s="87"/>
      <c r="S58" s="88" t="b">
        <v>0</v>
      </c>
      <c r="T58"/>
      <c r="U58" s="5" t="b">
        <f t="shared" si="2"/>
        <v>0</v>
      </c>
    </row>
    <row r="59" spans="1:21" x14ac:dyDescent="0.3">
      <c r="A59" s="203">
        <v>1976</v>
      </c>
      <c r="B59" s="217" t="str" cm="1">
        <f t="array" ref="B59">IFERROR(_xlfn.SWITCH(VLOOKUP($A59,#REF!,2,FALSE),#REF!,#REF!,#REF!,#REF!,#REF!,#REF!,#REF!,#REF!,#REF!,#REF!,#REF!,#REF!,#REF!,#REF!),"")</f>
        <v/>
      </c>
      <c r="C59" s="83" t="s">
        <v>298</v>
      </c>
      <c r="D59" s="218" t="str">
        <f>IFERROR(VLOOKUP($A59,#REF!,3,FALSE),"")</f>
        <v/>
      </c>
      <c r="E59" s="219" t="str">
        <f>IFERROR(VLOOKUP($A59,#REF!,5,FALSE),"")</f>
        <v/>
      </c>
      <c r="F59" s="203" t="s">
        <v>13</v>
      </c>
      <c r="G59" s="203" t="s">
        <v>24</v>
      </c>
      <c r="H59" s="85"/>
      <c r="I59" s="203"/>
      <c r="J59" s="220" t="s">
        <v>247</v>
      </c>
      <c r="K59" s="195">
        <f t="shared" si="3"/>
        <v>15000</v>
      </c>
      <c r="L59" s="221"/>
      <c r="M59" s="109"/>
      <c r="N59" s="206"/>
      <c r="O59" s="109"/>
      <c r="P59" s="109"/>
      <c r="Q59" s="109">
        <v>15000</v>
      </c>
      <c r="R59" s="109"/>
      <c r="S59" s="88" t="b">
        <v>0</v>
      </c>
      <c r="U59" s="5" t="b">
        <f t="shared" si="2"/>
        <v>1</v>
      </c>
    </row>
    <row r="60" spans="1:21" x14ac:dyDescent="0.3">
      <c r="A60" s="132">
        <v>2067</v>
      </c>
      <c r="B60" s="143" t="str" cm="1">
        <f t="array" ref="B60">IFERROR(_xlfn.SWITCH(VLOOKUP($A60,#REF!,2,FALSE),#REF!,#REF!,#REF!,#REF!,#REF!,#REF!,#REF!,#REF!,#REF!,#REF!,#REF!,#REF!,#REF!,#REF!),"")</f>
        <v/>
      </c>
      <c r="C60" s="133" t="s">
        <v>121</v>
      </c>
      <c r="D60" s="150" t="str">
        <f>IFERROR(VLOOKUP($A60,#REF!,3,FALSE),"")</f>
        <v/>
      </c>
      <c r="E60" s="151" t="str">
        <f>IFERROR(VLOOKUP($A60,#REF!,5,FALSE),"")</f>
        <v/>
      </c>
      <c r="F60" s="132" t="s">
        <v>13</v>
      </c>
      <c r="G60" s="132" t="s">
        <v>14</v>
      </c>
      <c r="H60" s="134"/>
      <c r="I60" s="132"/>
      <c r="J60" s="135" t="s">
        <v>224</v>
      </c>
      <c r="K60" s="195">
        <f t="shared" si="3"/>
        <v>20000</v>
      </c>
      <c r="L60" s="136" t="s">
        <v>191</v>
      </c>
      <c r="M60" s="109"/>
      <c r="N60" s="128"/>
      <c r="O60" s="108">
        <v>10000</v>
      </c>
      <c r="P60" s="108"/>
      <c r="Q60" s="109"/>
      <c r="R60" s="109">
        <v>10000</v>
      </c>
      <c r="S60" s="88" t="b">
        <v>1</v>
      </c>
      <c r="T60"/>
      <c r="U60" s="5" t="b">
        <f t="shared" si="2"/>
        <v>1</v>
      </c>
    </row>
    <row r="61" spans="1:21" x14ac:dyDescent="0.3">
      <c r="A61" s="81">
        <v>2067</v>
      </c>
      <c r="B61" s="140" t="str" cm="1">
        <f t="array" ref="B61">IFERROR(_xlfn.SWITCH(VLOOKUP($A61,#REF!,2,FALSE),#REF!,#REF!,#REF!,#REF!,#REF!,#REF!,#REF!,#REF!,#REF!,#REF!,#REF!,#REF!,#REF!,#REF!),"")</f>
        <v/>
      </c>
      <c r="C61" s="89" t="s">
        <v>121</v>
      </c>
      <c r="D61" s="144" t="str">
        <f>IFERROR(VLOOKUP($A61,#REF!,3,FALSE),"")</f>
        <v/>
      </c>
      <c r="E61" s="145" t="str">
        <f>IFERROR(VLOOKUP($A61,#REF!,5,FALSE),"")</f>
        <v/>
      </c>
      <c r="F61" s="84" t="s">
        <v>18</v>
      </c>
      <c r="G61" s="85" t="s">
        <v>47</v>
      </c>
      <c r="H61" s="85" t="s">
        <v>15</v>
      </c>
      <c r="I61" s="85"/>
      <c r="J61" s="154" t="s">
        <v>55</v>
      </c>
      <c r="K61" s="195">
        <f t="shared" si="3"/>
        <v>7000</v>
      </c>
      <c r="L61" s="107"/>
      <c r="M61" s="109"/>
      <c r="N61" s="128"/>
      <c r="O61" s="109">
        <v>7000</v>
      </c>
      <c r="P61" s="109"/>
      <c r="Q61" s="109"/>
      <c r="R61" s="109"/>
      <c r="S61" s="88" t="b">
        <v>0</v>
      </c>
      <c r="T61"/>
      <c r="U61" s="5" t="b">
        <f t="shared" si="2"/>
        <v>0</v>
      </c>
    </row>
    <row r="62" spans="1:21" x14ac:dyDescent="0.3">
      <c r="A62" s="132">
        <v>2293</v>
      </c>
      <c r="B62" s="143" t="str" cm="1">
        <f t="array" ref="B62">IFERROR(_xlfn.SWITCH(VLOOKUP($A62,#REF!,2,FALSE),#REF!,#REF!,#REF!,#REF!,#REF!,#REF!,#REF!,#REF!,#REF!,#REF!,#REF!,#REF!,#REF!,#REF!),"")</f>
        <v/>
      </c>
      <c r="C62" s="133" t="s">
        <v>306</v>
      </c>
      <c r="D62" s="150" t="str">
        <f>IFERROR(VLOOKUP($A62,#REF!,3,FALSE),"")</f>
        <v/>
      </c>
      <c r="E62" s="151" t="str">
        <f>IFERROR(VLOOKUP($A62,#REF!,5,FALSE),"")</f>
        <v/>
      </c>
      <c r="F62" s="84" t="s">
        <v>13</v>
      </c>
      <c r="G62" s="84" t="s">
        <v>14</v>
      </c>
      <c r="H62" s="134"/>
      <c r="I62" s="132"/>
      <c r="J62" s="135" t="s">
        <v>198</v>
      </c>
      <c r="K62" s="195">
        <f t="shared" si="3"/>
        <v>37500</v>
      </c>
      <c r="L62" s="136" t="s">
        <v>186</v>
      </c>
      <c r="M62" s="109"/>
      <c r="N62" s="128">
        <v>12500</v>
      </c>
      <c r="O62" s="108"/>
      <c r="P62" s="108"/>
      <c r="Q62" s="109"/>
      <c r="R62" s="109">
        <v>25000</v>
      </c>
      <c r="S62" s="88" t="b">
        <v>1</v>
      </c>
      <c r="U62" s="5" t="b">
        <f t="shared" si="2"/>
        <v>1</v>
      </c>
    </row>
    <row r="63" spans="1:21" x14ac:dyDescent="0.3">
      <c r="A63" s="84">
        <v>1396</v>
      </c>
      <c r="B63" s="140" t="str" cm="1">
        <f t="array" ref="B63">IFERROR(_xlfn.SWITCH(VLOOKUP($A63,#REF!,2,FALSE),#REF!,#REF!,#REF!,#REF!,#REF!,#REF!,#REF!,#REF!,#REF!,#REF!,#REF!,#REF!,#REF!,#REF!),"")</f>
        <v/>
      </c>
      <c r="C63" s="83" t="s">
        <v>116</v>
      </c>
      <c r="D63" s="43" t="str">
        <f>IFERROR(VLOOKUP($A63,#REF!,3,FALSE),"")</f>
        <v/>
      </c>
      <c r="E63" s="59" t="str">
        <f>IFERROR(VLOOKUP($A63,#REF!,5,FALSE),"")</f>
        <v/>
      </c>
      <c r="F63" s="84" t="s">
        <v>18</v>
      </c>
      <c r="G63" s="84" t="s">
        <v>58</v>
      </c>
      <c r="H63" s="85" t="s">
        <v>15</v>
      </c>
      <c r="I63" s="84"/>
      <c r="J63" s="155" t="s">
        <v>62</v>
      </c>
      <c r="K63" s="195">
        <f t="shared" si="3"/>
        <v>12000</v>
      </c>
      <c r="L63" s="110"/>
      <c r="M63" s="109">
        <v>13000</v>
      </c>
      <c r="N63" s="128"/>
      <c r="O63" s="109"/>
      <c r="P63" s="109">
        <v>12000</v>
      </c>
      <c r="Q63" s="109"/>
      <c r="R63" s="109"/>
      <c r="S63" s="88" t="b">
        <v>0</v>
      </c>
      <c r="T63"/>
      <c r="U63" s="5" t="b">
        <f t="shared" si="2"/>
        <v>0</v>
      </c>
    </row>
    <row r="64" spans="1:21" x14ac:dyDescent="0.3">
      <c r="A64" s="132">
        <v>1396</v>
      </c>
      <c r="B64" s="143" t="str" cm="1">
        <f t="array" ref="B64">IFERROR(_xlfn.SWITCH(VLOOKUP($A64,#REF!,2,FALSE),#REF!,#REF!,#REF!,#REF!,#REF!,#REF!,#REF!,#REF!,#REF!,#REF!,#REF!,#REF!,#REF!,#REF!),"")</f>
        <v/>
      </c>
      <c r="C64" s="133" t="s">
        <v>116</v>
      </c>
      <c r="D64" s="150" t="str">
        <f>IFERROR(VLOOKUP($A64,#REF!,3,FALSE),"")</f>
        <v/>
      </c>
      <c r="E64" s="151" t="str">
        <f>IFERROR(VLOOKUP($A64,#REF!,5,FALSE),"")</f>
        <v/>
      </c>
      <c r="F64" s="84" t="s">
        <v>1</v>
      </c>
      <c r="G64" s="84" t="s">
        <v>23</v>
      </c>
      <c r="H64" s="134"/>
      <c r="I64" s="132"/>
      <c r="J64" s="135" t="s">
        <v>196</v>
      </c>
      <c r="K64" s="194">
        <f t="shared" si="3"/>
        <v>2000</v>
      </c>
      <c r="L64" s="136" t="s">
        <v>186</v>
      </c>
      <c r="M64" s="109"/>
      <c r="N64" s="128">
        <v>2000</v>
      </c>
      <c r="O64" s="108"/>
      <c r="P64" s="108"/>
      <c r="Q64" s="109"/>
      <c r="R64" s="109"/>
      <c r="S64" s="88" t="b">
        <v>0</v>
      </c>
      <c r="U64" s="5" t="b">
        <f t="shared" si="2"/>
        <v>0</v>
      </c>
    </row>
    <row r="65" spans="1:21" x14ac:dyDescent="0.3">
      <c r="A65" s="84">
        <v>2120</v>
      </c>
      <c r="B65" s="140" t="str" cm="1">
        <f t="array" ref="B65">IFERROR(_xlfn.SWITCH(VLOOKUP($A65,#REF!,2,FALSE),#REF!,#REF!,#REF!,#REF!,#REF!,#REF!,#REF!,#REF!,#REF!,#REF!,#REF!,#REF!,#REF!,#REF!),"")</f>
        <v/>
      </c>
      <c r="C65" s="83" t="s">
        <v>125</v>
      </c>
      <c r="D65" s="144" t="str">
        <f>IFERROR(VLOOKUP($A65,#REF!,3,FALSE),"")</f>
        <v/>
      </c>
      <c r="E65" s="145" t="str">
        <f>IFERROR(VLOOKUP($A65,#REF!,5,FALSE),"")</f>
        <v/>
      </c>
      <c r="F65" s="132" t="s">
        <v>1</v>
      </c>
      <c r="G65" s="84" t="s">
        <v>129</v>
      </c>
      <c r="H65" s="85"/>
      <c r="I65" s="84"/>
      <c r="J65" s="156" t="s">
        <v>262</v>
      </c>
      <c r="K65" s="195">
        <f t="shared" si="3"/>
        <v>10000</v>
      </c>
      <c r="L65" s="116" t="s">
        <v>263</v>
      </c>
      <c r="M65" s="87"/>
      <c r="N65" s="126"/>
      <c r="O65" s="87">
        <v>10000</v>
      </c>
      <c r="P65" s="87"/>
      <c r="Q65" s="87"/>
      <c r="R65" s="87"/>
      <c r="S65" s="88" t="b">
        <v>0</v>
      </c>
      <c r="T65"/>
      <c r="U65" s="5" t="b">
        <f t="shared" si="2"/>
        <v>0</v>
      </c>
    </row>
    <row r="66" spans="1:21" x14ac:dyDescent="0.3">
      <c r="A66" s="132">
        <v>1396</v>
      </c>
      <c r="B66" s="143" t="str" cm="1">
        <f t="array" ref="B66">IFERROR(_xlfn.SWITCH(VLOOKUP($A66,#REF!,2,FALSE),#REF!,#REF!,#REF!,#REF!,#REF!,#REF!,#REF!,#REF!,#REF!,#REF!,#REF!,#REF!,#REF!,#REF!),"")</f>
        <v/>
      </c>
      <c r="C66" s="133" t="s">
        <v>116</v>
      </c>
      <c r="D66" s="150" t="str">
        <f>IFERROR(VLOOKUP($A66,#REF!,3,FALSE),"")</f>
        <v/>
      </c>
      <c r="E66" s="151" t="str">
        <f>IFERROR(VLOOKUP($A66,#REF!,5,FALSE),"")</f>
        <v/>
      </c>
      <c r="F66" s="84" t="s">
        <v>1</v>
      </c>
      <c r="G66" s="84" t="s">
        <v>17</v>
      </c>
      <c r="H66" s="134"/>
      <c r="I66" s="132"/>
      <c r="J66" s="135" t="s">
        <v>194</v>
      </c>
      <c r="K66" s="195">
        <f t="shared" si="3"/>
        <v>15000</v>
      </c>
      <c r="L66" s="136" t="s">
        <v>186</v>
      </c>
      <c r="M66" s="109"/>
      <c r="N66" s="128">
        <v>5000</v>
      </c>
      <c r="O66" s="108"/>
      <c r="P66" s="108"/>
      <c r="Q66" s="109"/>
      <c r="R66" s="109">
        <v>10000</v>
      </c>
      <c r="S66" s="88" t="b">
        <v>1</v>
      </c>
      <c r="U66" s="5" t="b">
        <f t="shared" si="2"/>
        <v>1</v>
      </c>
    </row>
    <row r="67" spans="1:21" x14ac:dyDescent="0.3">
      <c r="A67" s="84">
        <v>1396</v>
      </c>
      <c r="B67" s="140" t="str" cm="1">
        <f t="array" ref="B67">IFERROR(_xlfn.SWITCH(VLOOKUP($A67,#REF!,2,FALSE),#REF!,#REF!,#REF!,#REF!,#REF!,#REF!,#REF!,#REF!,#REF!,#REF!,#REF!,#REF!,#REF!,#REF!),"")</f>
        <v/>
      </c>
      <c r="C67" s="83" t="s">
        <v>116</v>
      </c>
      <c r="D67" s="144" t="str">
        <f>IFERROR(VLOOKUP($A67,#REF!,3,FALSE),"")</f>
        <v/>
      </c>
      <c r="E67" s="145" t="str">
        <f>IFERROR(VLOOKUP($A67,#REF!,5,FALSE),"")</f>
        <v/>
      </c>
      <c r="F67" s="132" t="s">
        <v>1</v>
      </c>
      <c r="G67" s="132" t="s">
        <v>127</v>
      </c>
      <c r="H67" s="85"/>
      <c r="I67" s="84"/>
      <c r="J67" s="157" t="s">
        <v>26</v>
      </c>
      <c r="K67" s="195">
        <f t="shared" si="3"/>
        <v>3000</v>
      </c>
      <c r="L67" s="115" t="s">
        <v>279</v>
      </c>
      <c r="M67" s="109"/>
      <c r="N67" s="128">
        <v>3000</v>
      </c>
      <c r="O67" s="108"/>
      <c r="P67" s="108"/>
      <c r="Q67" s="109"/>
      <c r="R67" s="109"/>
      <c r="S67" s="88" t="b">
        <v>0</v>
      </c>
      <c r="U67" s="5" t="b">
        <f t="shared" si="2"/>
        <v>0</v>
      </c>
    </row>
    <row r="68" spans="1:21" x14ac:dyDescent="0.3">
      <c r="A68" s="132">
        <v>1976</v>
      </c>
      <c r="B68" s="143" t="str" cm="1">
        <f t="array" ref="B68">IFERROR(_xlfn.SWITCH(VLOOKUP($A68,#REF!,2,FALSE),#REF!,#REF!,#REF!,#REF!,#REF!,#REF!,#REF!,#REF!,#REF!,#REF!,#REF!,#REF!,#REF!,#REF!),"")</f>
        <v/>
      </c>
      <c r="C68" s="133" t="s">
        <v>298</v>
      </c>
      <c r="D68" s="150" t="str">
        <f>IFERROR(VLOOKUP($A68,#REF!,3,FALSE),"")</f>
        <v/>
      </c>
      <c r="E68" s="151" t="str">
        <f>IFERROR(VLOOKUP($A68,#REF!,5,FALSE),"")</f>
        <v/>
      </c>
      <c r="F68" s="84" t="s">
        <v>1</v>
      </c>
      <c r="G68" s="84" t="s">
        <v>17</v>
      </c>
      <c r="H68" s="85" t="s">
        <v>15</v>
      </c>
      <c r="I68" s="132"/>
      <c r="J68" s="135" t="s">
        <v>232</v>
      </c>
      <c r="K68" s="195">
        <f t="shared" si="3"/>
        <v>15000</v>
      </c>
      <c r="L68" s="136" t="s">
        <v>186</v>
      </c>
      <c r="M68" s="109"/>
      <c r="N68" s="128"/>
      <c r="O68" s="108"/>
      <c r="P68" s="108"/>
      <c r="Q68" s="109">
        <v>15000</v>
      </c>
      <c r="R68" s="109"/>
      <c r="S68" s="88" t="b">
        <v>1</v>
      </c>
      <c r="T68"/>
      <c r="U68" s="5" t="b">
        <f t="shared" ref="U68:U118" si="4">OR(NOT(ISBLANK(Q68)),NOT(ISBLANK(R68)))</f>
        <v>1</v>
      </c>
    </row>
    <row r="69" spans="1:21" x14ac:dyDescent="0.3">
      <c r="A69" s="132">
        <v>1397</v>
      </c>
      <c r="B69" s="143" t="str" cm="1">
        <f t="array" ref="B69">IFERROR(_xlfn.SWITCH(VLOOKUP($A69,#REF!,2,FALSE),#REF!,#REF!,#REF!,#REF!,#REF!,#REF!,#REF!,#REF!,#REF!,#REF!,#REF!,#REF!,#REF!,#REF!),"")</f>
        <v/>
      </c>
      <c r="C69" s="133" t="s">
        <v>118</v>
      </c>
      <c r="D69" s="150" t="str">
        <f>IFERROR(VLOOKUP($A69,#REF!,3,FALSE),"")</f>
        <v/>
      </c>
      <c r="E69" s="151" t="str">
        <f>IFERROR(VLOOKUP($A69,#REF!,5,FALSE),"")</f>
        <v/>
      </c>
      <c r="F69" s="84" t="s">
        <v>1</v>
      </c>
      <c r="G69" s="84" t="s">
        <v>54</v>
      </c>
      <c r="H69" s="134"/>
      <c r="I69" s="132"/>
      <c r="J69" s="135" t="s">
        <v>227</v>
      </c>
      <c r="K69" s="195">
        <f t="shared" si="3"/>
        <v>7000</v>
      </c>
      <c r="L69" s="115" t="s">
        <v>280</v>
      </c>
      <c r="M69" s="109"/>
      <c r="N69" s="128">
        <v>7000</v>
      </c>
      <c r="O69" s="108"/>
      <c r="P69" s="108"/>
      <c r="Q69" s="109"/>
      <c r="R69" s="109"/>
      <c r="S69" s="88" t="b">
        <v>0</v>
      </c>
      <c r="U69" s="5" t="b">
        <f t="shared" si="4"/>
        <v>0</v>
      </c>
    </row>
    <row r="70" spans="1:21" x14ac:dyDescent="0.3">
      <c r="A70" s="81">
        <v>1429</v>
      </c>
      <c r="B70" s="140" t="str" cm="1">
        <f t="array" ref="B70">IFERROR(_xlfn.SWITCH(VLOOKUP($A70,#REF!,2,FALSE),#REF!,#REF!,#REF!,#REF!,#REF!,#REF!,#REF!,#REF!,#REF!,#REF!,#REF!,#REF!,#REF!,#REF!),"")</f>
        <v/>
      </c>
      <c r="C70" s="83" t="s">
        <v>292</v>
      </c>
      <c r="D70" s="144" t="str">
        <f>IFERROR(VLOOKUP($A70,#REF!,3,FALSE),"")</f>
        <v/>
      </c>
      <c r="E70" s="145" t="str">
        <f>IFERROR(VLOOKUP($A70,#REF!,5,FALSE),"")</f>
        <v/>
      </c>
      <c r="F70" s="84" t="s">
        <v>1</v>
      </c>
      <c r="G70" s="84" t="s">
        <v>129</v>
      </c>
      <c r="H70" s="85" t="s">
        <v>15</v>
      </c>
      <c r="I70" s="85"/>
      <c r="J70" s="156" t="s">
        <v>57</v>
      </c>
      <c r="K70" s="195">
        <f t="shared" si="3"/>
        <v>7000</v>
      </c>
      <c r="L70" s="90"/>
      <c r="M70" s="87"/>
      <c r="N70" s="126"/>
      <c r="O70" s="87"/>
      <c r="P70" s="87"/>
      <c r="Q70" s="87">
        <v>7000</v>
      </c>
      <c r="R70" s="87"/>
      <c r="S70" s="88" t="b">
        <v>0</v>
      </c>
      <c r="T70"/>
      <c r="U70" s="5" t="b">
        <f t="shared" si="4"/>
        <v>1</v>
      </c>
    </row>
    <row r="71" spans="1:21" x14ac:dyDescent="0.3">
      <c r="A71" s="132">
        <v>1399</v>
      </c>
      <c r="B71" s="143" t="str" cm="1">
        <f t="array" ref="B71">IFERROR(_xlfn.SWITCH(VLOOKUP($A71,#REF!,2,FALSE),#REF!,#REF!,#REF!,#REF!,#REF!,#REF!,#REF!,#REF!,#REF!,#REF!,#REF!,#REF!,#REF!,#REF!),"")</f>
        <v/>
      </c>
      <c r="C71" s="133" t="s">
        <v>287</v>
      </c>
      <c r="D71" s="150" t="str">
        <f>IFERROR(VLOOKUP($A71,#REF!,3,FALSE),"")</f>
        <v/>
      </c>
      <c r="E71" s="151" t="str">
        <f>IFERROR(VLOOKUP($A71,#REF!,5,FALSE),"")</f>
        <v/>
      </c>
      <c r="F71" s="84" t="s">
        <v>1</v>
      </c>
      <c r="G71" s="84" t="s">
        <v>128</v>
      </c>
      <c r="H71" s="134"/>
      <c r="I71" s="132"/>
      <c r="J71" s="135" t="s">
        <v>178</v>
      </c>
      <c r="K71" s="196">
        <f t="shared" si="3"/>
        <v>3000</v>
      </c>
      <c r="L71" s="136" t="s">
        <v>177</v>
      </c>
      <c r="M71" s="109"/>
      <c r="N71" s="128">
        <v>3000</v>
      </c>
      <c r="O71" s="108"/>
      <c r="P71" s="108"/>
      <c r="Q71" s="109"/>
      <c r="R71" s="109"/>
      <c r="S71" s="88" t="b">
        <v>1</v>
      </c>
      <c r="U71" s="5" t="b">
        <f t="shared" si="4"/>
        <v>0</v>
      </c>
    </row>
    <row r="72" spans="1:21" x14ac:dyDescent="0.3">
      <c r="A72" s="81">
        <v>1402</v>
      </c>
      <c r="B72" s="140" t="str" cm="1">
        <f t="array" ref="B72">IFERROR(_xlfn.SWITCH(VLOOKUP($A72,#REF!,2,FALSE),#REF!,#REF!,#REF!,#REF!,#REF!,#REF!,#REF!,#REF!,#REF!,#REF!,#REF!,#REF!,#REF!,#REF!),"")</f>
        <v/>
      </c>
      <c r="C72" s="112" t="s">
        <v>98</v>
      </c>
      <c r="D72" s="144" t="str">
        <f>IFERROR(VLOOKUP($A72,#REF!,3,FALSE),"")</f>
        <v/>
      </c>
      <c r="E72" s="145" t="str">
        <f>IFERROR(VLOOKUP($A72,#REF!,5,FALSE),"")</f>
        <v/>
      </c>
      <c r="F72" s="84" t="s">
        <v>13</v>
      </c>
      <c r="G72" s="84" t="s">
        <v>36</v>
      </c>
      <c r="H72" s="85" t="s">
        <v>15</v>
      </c>
      <c r="I72" s="85"/>
      <c r="J72" s="156" t="s">
        <v>45</v>
      </c>
      <c r="K72" s="195">
        <f t="shared" si="3"/>
        <v>30000</v>
      </c>
      <c r="L72" s="90"/>
      <c r="M72" s="87"/>
      <c r="N72" s="126"/>
      <c r="O72" s="87"/>
      <c r="P72" s="87"/>
      <c r="Q72" s="87">
        <v>30000</v>
      </c>
      <c r="R72" s="87"/>
      <c r="S72" s="88" t="b">
        <v>0</v>
      </c>
      <c r="T72"/>
      <c r="U72" s="5" t="b">
        <f t="shared" si="4"/>
        <v>1</v>
      </c>
    </row>
    <row r="73" spans="1:21" x14ac:dyDescent="0.3">
      <c r="A73" s="84">
        <v>2021</v>
      </c>
      <c r="B73" s="140" t="str" cm="1">
        <f t="array" ref="B73">IFERROR(_xlfn.SWITCH(VLOOKUP($A73,#REF!,2,FALSE),#REF!,#REF!,#REF!,#REF!,#REF!,#REF!,#REF!,#REF!,#REF!,#REF!,#REF!,#REF!,#REF!,#REF!),"")</f>
        <v/>
      </c>
      <c r="C73" s="83" t="s">
        <v>299</v>
      </c>
      <c r="D73" s="144" t="str">
        <f>IFERROR(VLOOKUP($A73,#REF!,3,FALSE),"")</f>
        <v/>
      </c>
      <c r="E73" s="145" t="str">
        <f>IFERROR(VLOOKUP($A73,#REF!,5,FALSE),"")</f>
        <v/>
      </c>
      <c r="F73" s="84" t="s">
        <v>1</v>
      </c>
      <c r="G73" s="84" t="s">
        <v>35</v>
      </c>
      <c r="H73" s="85" t="s">
        <v>15</v>
      </c>
      <c r="I73" s="84"/>
      <c r="J73" s="158" t="s">
        <v>83</v>
      </c>
      <c r="K73" s="195">
        <f t="shared" si="3"/>
        <v>20000</v>
      </c>
      <c r="L73" s="116"/>
      <c r="M73" s="87">
        <v>8000</v>
      </c>
      <c r="N73" s="126"/>
      <c r="O73" s="87"/>
      <c r="P73" s="87"/>
      <c r="Q73" s="87"/>
      <c r="R73" s="87">
        <v>20000</v>
      </c>
      <c r="S73" s="88" t="b">
        <v>0</v>
      </c>
      <c r="T73"/>
      <c r="U73" s="5" t="b">
        <f t="shared" si="4"/>
        <v>1</v>
      </c>
    </row>
    <row r="74" spans="1:21" x14ac:dyDescent="0.3">
      <c r="A74" s="132">
        <v>1400</v>
      </c>
      <c r="B74" s="143" t="str" cm="1">
        <f t="array" ref="B74">IFERROR(_xlfn.SWITCH(VLOOKUP($A74,#REF!,2,FALSE),#REF!,#REF!,#REF!,#REF!,#REF!,#REF!,#REF!,#REF!,#REF!,#REF!,#REF!,#REF!,#REF!,#REF!),"")</f>
        <v/>
      </c>
      <c r="C74" s="133" t="s">
        <v>288</v>
      </c>
      <c r="D74" s="150" t="str">
        <f>IFERROR(VLOOKUP($A74,#REF!,3,FALSE),"")</f>
        <v/>
      </c>
      <c r="E74" s="151" t="str">
        <f>IFERROR(VLOOKUP($A74,#REF!,5,FALSE),"")</f>
        <v/>
      </c>
      <c r="F74" s="84" t="s">
        <v>1</v>
      </c>
      <c r="G74" s="84" t="s">
        <v>128</v>
      </c>
      <c r="H74" s="134"/>
      <c r="I74" s="132"/>
      <c r="J74" s="135" t="s">
        <v>256</v>
      </c>
      <c r="K74" s="195">
        <f t="shared" si="3"/>
        <v>3000</v>
      </c>
      <c r="L74" s="136" t="s">
        <v>281</v>
      </c>
      <c r="M74" s="109"/>
      <c r="N74" s="128">
        <v>3000</v>
      </c>
      <c r="O74" s="108"/>
      <c r="P74" s="108"/>
      <c r="Q74" s="109"/>
      <c r="R74" s="109"/>
      <c r="S74" s="88" t="b">
        <v>1</v>
      </c>
      <c r="U74" s="5" t="b">
        <f t="shared" si="4"/>
        <v>0</v>
      </c>
    </row>
    <row r="75" spans="1:21" x14ac:dyDescent="0.3">
      <c r="A75" s="132">
        <v>1400</v>
      </c>
      <c r="B75" s="143" t="str" cm="1">
        <f t="array" ref="B75">IFERROR(_xlfn.SWITCH(VLOOKUP($A75,#REF!,2,FALSE),#REF!,#REF!,#REF!,#REF!,#REF!,#REF!,#REF!,#REF!,#REF!,#REF!,#REF!,#REF!,#REF!,#REF!),"")</f>
        <v/>
      </c>
      <c r="C75" s="133" t="s">
        <v>308</v>
      </c>
      <c r="D75" s="150" t="str">
        <f>IFERROR(VLOOKUP($A75,#REF!,3,FALSE),"")</f>
        <v/>
      </c>
      <c r="E75" s="151" t="str">
        <f>IFERROR(VLOOKUP($A75,#REF!,5,FALSE),"")</f>
        <v/>
      </c>
      <c r="F75" s="132" t="s">
        <v>1</v>
      </c>
      <c r="G75" s="132" t="s">
        <v>127</v>
      </c>
      <c r="H75" s="134"/>
      <c r="I75" s="132"/>
      <c r="J75" s="135" t="s">
        <v>312</v>
      </c>
      <c r="K75" s="195">
        <f t="shared" si="3"/>
        <v>2000</v>
      </c>
      <c r="L75" s="115" t="s">
        <v>282</v>
      </c>
      <c r="M75" s="109"/>
      <c r="N75" s="128">
        <v>2000</v>
      </c>
      <c r="O75" s="108"/>
      <c r="P75" s="108"/>
      <c r="Q75" s="109"/>
      <c r="R75" s="109"/>
      <c r="S75" s="88" t="b">
        <v>1</v>
      </c>
      <c r="U75" s="5" t="b">
        <f t="shared" si="4"/>
        <v>0</v>
      </c>
    </row>
    <row r="76" spans="1:21" x14ac:dyDescent="0.3">
      <c r="A76" s="122">
        <v>2021</v>
      </c>
      <c r="B76" s="142" t="str" cm="1">
        <f t="array" ref="B76">IFERROR(_xlfn.SWITCH(VLOOKUP($A76,#REF!,2,FALSE),#REF!,#REF!,#REF!,#REF!,#REF!,#REF!,#REF!,#REF!,#REF!,#REF!,#REF!,#REF!,#REF!,#REF!),"")</f>
        <v/>
      </c>
      <c r="C76" s="123" t="s">
        <v>299</v>
      </c>
      <c r="D76" s="148" t="str">
        <f>IFERROR(VLOOKUP($A76,#REF!,3,FALSE),"")</f>
        <v/>
      </c>
      <c r="E76" s="149" t="str">
        <f>IFERROR(VLOOKUP($A76,#REF!,5,FALSE),"")</f>
        <v/>
      </c>
      <c r="F76" s="122" t="s">
        <v>1</v>
      </c>
      <c r="G76" s="122" t="s">
        <v>44</v>
      </c>
      <c r="H76" s="85" t="s">
        <v>15</v>
      </c>
      <c r="I76" s="122"/>
      <c r="J76" s="159" t="s">
        <v>230</v>
      </c>
      <c r="K76" s="195">
        <f t="shared" si="3"/>
        <v>15000</v>
      </c>
      <c r="L76" s="116" t="s">
        <v>229</v>
      </c>
      <c r="M76" s="87"/>
      <c r="N76" s="126"/>
      <c r="O76" s="87"/>
      <c r="P76" s="87"/>
      <c r="Q76" s="87">
        <v>15000</v>
      </c>
      <c r="R76" s="87"/>
      <c r="S76" s="88" t="b">
        <v>0</v>
      </c>
      <c r="T76"/>
      <c r="U76" s="5" t="b">
        <f t="shared" si="4"/>
        <v>1</v>
      </c>
    </row>
    <row r="77" spans="1:21" ht="20.399999999999999" x14ac:dyDescent="0.3">
      <c r="A77" s="132">
        <v>1400</v>
      </c>
      <c r="B77" s="143" t="str" cm="1">
        <f t="array" ref="B77">IFERROR(_xlfn.SWITCH(VLOOKUP($A77,#REF!,2,FALSE),#REF!,#REF!,#REF!,#REF!,#REF!,#REF!,#REF!,#REF!,#REF!,#REF!,#REF!,#REF!,#REF!,#REF!),"")</f>
        <v/>
      </c>
      <c r="C77" s="133" t="s">
        <v>289</v>
      </c>
      <c r="D77" s="150" t="str">
        <f>IFERROR(VLOOKUP($A77,#REF!,3,FALSE),"")</f>
        <v/>
      </c>
      <c r="E77" s="151" t="str">
        <f>IFERROR(VLOOKUP($A77,#REF!,5,FALSE),"")</f>
        <v/>
      </c>
      <c r="F77" s="132" t="s">
        <v>1</v>
      </c>
      <c r="G77" s="132" t="s">
        <v>127</v>
      </c>
      <c r="H77" s="134"/>
      <c r="I77" s="132"/>
      <c r="J77" s="135" t="s">
        <v>237</v>
      </c>
      <c r="K77" s="195">
        <f t="shared" ref="K77:K86" si="5">SUM(N77:R77)</f>
        <v>1500</v>
      </c>
      <c r="L77" s="136" t="s">
        <v>183</v>
      </c>
      <c r="M77" s="109"/>
      <c r="N77" s="128">
        <v>1500</v>
      </c>
      <c r="O77" s="108"/>
      <c r="P77" s="108"/>
      <c r="Q77" s="109"/>
      <c r="R77" s="109"/>
      <c r="S77" s="88" t="b">
        <v>1</v>
      </c>
      <c r="U77" s="5" t="b">
        <f t="shared" si="4"/>
        <v>0</v>
      </c>
    </row>
    <row r="78" spans="1:21" x14ac:dyDescent="0.3">
      <c r="A78" s="81">
        <v>1398</v>
      </c>
      <c r="B78" s="140" t="str" cm="1">
        <f t="array" ref="B78">IFERROR(_xlfn.SWITCH(VLOOKUP($A78,#REF!,2,FALSE),#REF!,#REF!,#REF!,#REF!,#REF!,#REF!,#REF!,#REF!,#REF!,#REF!,#REF!,#REF!,#REF!,#REF!),"")</f>
        <v/>
      </c>
      <c r="C78" s="83" t="s">
        <v>119</v>
      </c>
      <c r="D78" s="144" t="str">
        <f>IFERROR(VLOOKUP($A78,#REF!,3,FALSE),"")</f>
        <v/>
      </c>
      <c r="E78" s="145" t="str">
        <f>IFERROR(VLOOKUP($A78,#REF!,5,FALSE),"")</f>
        <v/>
      </c>
      <c r="F78" s="84" t="s">
        <v>1</v>
      </c>
      <c r="G78" s="105" t="s">
        <v>54</v>
      </c>
      <c r="H78" s="85" t="s">
        <v>15</v>
      </c>
      <c r="I78" s="111"/>
      <c r="J78" s="154" t="s">
        <v>236</v>
      </c>
      <c r="K78" s="195">
        <f t="shared" si="5"/>
        <v>15000</v>
      </c>
      <c r="L78" s="107"/>
      <c r="M78" s="109"/>
      <c r="N78" s="128"/>
      <c r="O78" s="109"/>
      <c r="P78" s="109">
        <v>15000</v>
      </c>
      <c r="Q78" s="109"/>
      <c r="R78" s="109"/>
      <c r="S78" s="88" t="b">
        <v>0</v>
      </c>
      <c r="T78"/>
      <c r="U78" s="5" t="b">
        <f t="shared" si="4"/>
        <v>0</v>
      </c>
    </row>
    <row r="79" spans="1:21" x14ac:dyDescent="0.3">
      <c r="A79" s="84">
        <v>1400</v>
      </c>
      <c r="B79" s="140" t="str" cm="1">
        <f t="array" ref="B79">IFERROR(_xlfn.SWITCH(VLOOKUP($A79,#REF!,2,FALSE),#REF!,#REF!,#REF!,#REF!,#REF!,#REF!,#REF!,#REF!,#REF!,#REF!,#REF!,#REF!,#REF!,#REF!),"")</f>
        <v/>
      </c>
      <c r="C79" s="89" t="s">
        <v>269</v>
      </c>
      <c r="D79" s="144" t="str">
        <f>IFERROR(VLOOKUP($A79,#REF!,3,FALSE),"")</f>
        <v/>
      </c>
      <c r="E79" s="145" t="str">
        <f>IFERROR(VLOOKUP($A79,#REF!,5,FALSE),"")</f>
        <v/>
      </c>
      <c r="F79" s="84" t="s">
        <v>1</v>
      </c>
      <c r="G79" s="84" t="s">
        <v>129</v>
      </c>
      <c r="H79" s="85"/>
      <c r="I79" s="84"/>
      <c r="J79" s="156" t="s">
        <v>270</v>
      </c>
      <c r="K79" s="195">
        <f t="shared" si="5"/>
        <v>7000</v>
      </c>
      <c r="L79" s="90"/>
      <c r="M79" s="87"/>
      <c r="N79" s="126">
        <v>7000</v>
      </c>
      <c r="O79" s="87"/>
      <c r="P79" s="87"/>
      <c r="Q79" s="87"/>
      <c r="R79" s="87"/>
      <c r="S79" s="88" t="b">
        <v>0</v>
      </c>
      <c r="U79" s="5" t="b">
        <f t="shared" si="4"/>
        <v>0</v>
      </c>
    </row>
    <row r="80" spans="1:21" x14ac:dyDescent="0.3">
      <c r="A80" s="81">
        <v>1397</v>
      </c>
      <c r="B80" s="140" t="str" cm="1">
        <f t="array" ref="B80">IFERROR(_xlfn.SWITCH(VLOOKUP($A80,#REF!,2,FALSE),#REF!,#REF!,#REF!,#REF!,#REF!,#REF!,#REF!,#REF!,#REF!,#REF!,#REF!,#REF!,#REF!,#REF!),"")</f>
        <v/>
      </c>
      <c r="C80" s="83" t="s">
        <v>117</v>
      </c>
      <c r="D80" s="144" t="str">
        <f>IFERROR(VLOOKUP($A80,#REF!,3,FALSE),"")</f>
        <v/>
      </c>
      <c r="E80" s="145" t="str">
        <f>IFERROR(VLOOKUP($A80,#REF!,5,FALSE),"")</f>
        <v/>
      </c>
      <c r="F80" s="84" t="s">
        <v>13</v>
      </c>
      <c r="G80" s="111" t="s">
        <v>32</v>
      </c>
      <c r="H80" s="85" t="s">
        <v>15</v>
      </c>
      <c r="I80" s="111"/>
      <c r="J80" s="156" t="s">
        <v>52</v>
      </c>
      <c r="K80" s="195">
        <f t="shared" si="5"/>
        <v>5000</v>
      </c>
      <c r="L80" s="86"/>
      <c r="M80" s="87"/>
      <c r="N80" s="126"/>
      <c r="O80" s="87">
        <v>5000</v>
      </c>
      <c r="P80" s="87"/>
      <c r="Q80" s="87"/>
      <c r="R80" s="87"/>
      <c r="S80" s="88" t="b">
        <v>0</v>
      </c>
      <c r="T80"/>
      <c r="U80" s="5" t="b">
        <f t="shared" si="4"/>
        <v>0</v>
      </c>
    </row>
    <row r="81" spans="1:21" x14ac:dyDescent="0.3">
      <c r="A81" s="223">
        <v>1799</v>
      </c>
      <c r="B81" s="217" t="str" cm="1">
        <f t="array" ref="B81">IFERROR(_xlfn.SWITCH(VLOOKUP($A81,#REF!,2,FALSE),#REF!,#REF!,#REF!,#REF!,#REF!,#REF!,#REF!,#REF!,#REF!,#REF!,#REF!,#REF!,#REF!,#REF!),"")</f>
        <v/>
      </c>
      <c r="C81" s="83" t="s">
        <v>34</v>
      </c>
      <c r="D81" s="218" t="str">
        <f>IFERROR(VLOOKUP($A81,#REF!,3,FALSE),"")</f>
        <v/>
      </c>
      <c r="E81" s="219" t="str">
        <f>IFERROR(VLOOKUP($A81,#REF!,5,FALSE),"")</f>
        <v/>
      </c>
      <c r="F81" s="203" t="s">
        <v>1</v>
      </c>
      <c r="G81" s="203" t="s">
        <v>35</v>
      </c>
      <c r="H81" s="85" t="s">
        <v>15</v>
      </c>
      <c r="I81" s="224"/>
      <c r="J81" s="225" t="s">
        <v>219</v>
      </c>
      <c r="K81" s="195">
        <f t="shared" si="5"/>
        <v>25000</v>
      </c>
      <c r="L81" s="226"/>
      <c r="M81" s="87"/>
      <c r="N81" s="227"/>
      <c r="O81" s="227">
        <v>25000</v>
      </c>
      <c r="P81" s="87"/>
      <c r="Q81" s="87"/>
      <c r="R81" s="87"/>
      <c r="S81" s="88" t="b">
        <v>0</v>
      </c>
      <c r="T81"/>
      <c r="U81" s="5" t="b">
        <f t="shared" si="4"/>
        <v>0</v>
      </c>
    </row>
    <row r="82" spans="1:21" x14ac:dyDescent="0.3">
      <c r="A82" s="132">
        <v>1401</v>
      </c>
      <c r="B82" s="143" t="str" cm="1">
        <f t="array" ref="B82">IFERROR(_xlfn.SWITCH(VLOOKUP($A82,#REF!,2,FALSE),#REF!,#REF!,#REF!,#REF!,#REF!,#REF!,#REF!,#REF!,#REF!,#REF!,#REF!,#REF!,#REF!,#REF!),"")</f>
        <v/>
      </c>
      <c r="C82" s="133" t="s">
        <v>286</v>
      </c>
      <c r="D82" s="150" t="str">
        <f>IFERROR(VLOOKUP($A82,#REF!,3,FALSE),"")</f>
        <v/>
      </c>
      <c r="E82" s="151" t="str">
        <f>IFERROR(VLOOKUP($A82,#REF!,5,FALSE),"")</f>
        <v/>
      </c>
      <c r="F82" s="132" t="s">
        <v>1</v>
      </c>
      <c r="G82" s="132" t="s">
        <v>54</v>
      </c>
      <c r="H82" s="134"/>
      <c r="I82" s="132"/>
      <c r="J82" s="135" t="s">
        <v>182</v>
      </c>
      <c r="K82" s="195">
        <f t="shared" si="5"/>
        <v>3000</v>
      </c>
      <c r="L82" s="136" t="s">
        <v>181</v>
      </c>
      <c r="M82" s="109"/>
      <c r="N82" s="128">
        <v>3000</v>
      </c>
      <c r="O82" s="108"/>
      <c r="P82" s="108"/>
      <c r="Q82" s="109"/>
      <c r="R82" s="109"/>
      <c r="S82" s="88" t="b">
        <v>1</v>
      </c>
      <c r="U82" s="5" t="b">
        <f t="shared" si="4"/>
        <v>0</v>
      </c>
    </row>
    <row r="83" spans="1:21" x14ac:dyDescent="0.3">
      <c r="A83" s="132">
        <v>1401</v>
      </c>
      <c r="B83" s="143" t="str" cm="1">
        <f t="array" ref="B83">IFERROR(_xlfn.SWITCH(VLOOKUP($A83,#REF!,2,FALSE),#REF!,#REF!,#REF!,#REF!,#REF!,#REF!,#REF!,#REF!,#REF!,#REF!,#REF!,#REF!,#REF!,#REF!),"")</f>
        <v/>
      </c>
      <c r="C83" s="133" t="s">
        <v>286</v>
      </c>
      <c r="D83" s="150" t="str">
        <f>IFERROR(VLOOKUP($A83,#REF!,3,FALSE),"")</f>
        <v/>
      </c>
      <c r="E83" s="151" t="str">
        <f>IFERROR(VLOOKUP($A83,#REF!,5,FALSE),"")</f>
        <v/>
      </c>
      <c r="F83" s="132" t="s">
        <v>1</v>
      </c>
      <c r="G83" s="132" t="s">
        <v>127</v>
      </c>
      <c r="H83" s="134"/>
      <c r="I83" s="132"/>
      <c r="J83" s="135" t="s">
        <v>317</v>
      </c>
      <c r="K83" s="195">
        <f t="shared" si="5"/>
        <v>3500</v>
      </c>
      <c r="L83" s="136" t="s">
        <v>184</v>
      </c>
      <c r="M83" s="109"/>
      <c r="N83" s="128">
        <v>3500</v>
      </c>
      <c r="O83" s="108"/>
      <c r="P83" s="108"/>
      <c r="Q83" s="109"/>
      <c r="R83" s="109"/>
      <c r="S83" s="88" t="b">
        <v>1</v>
      </c>
      <c r="T83"/>
      <c r="U83" s="5" t="b">
        <f t="shared" si="4"/>
        <v>0</v>
      </c>
    </row>
    <row r="84" spans="1:21" x14ac:dyDescent="0.3">
      <c r="A84" s="81">
        <v>1397</v>
      </c>
      <c r="B84" s="140" t="str" cm="1">
        <f t="array" ref="B84">IFERROR(_xlfn.SWITCH(VLOOKUP($A84,#REF!,2,FALSE),#REF!,#REF!,#REF!,#REF!,#REF!,#REF!,#REF!,#REF!,#REF!,#REF!,#REF!,#REF!,#REF!,#REF!),"")</f>
        <v/>
      </c>
      <c r="C84" s="83" t="s">
        <v>118</v>
      </c>
      <c r="D84" s="144" t="str">
        <f>IFERROR(VLOOKUP($A84,#REF!,3,FALSE),"")</f>
        <v/>
      </c>
      <c r="E84" s="145" t="str">
        <f>IFERROR(VLOOKUP($A84,#REF!,5,FALSE),"")</f>
        <v/>
      </c>
      <c r="F84" s="84" t="s">
        <v>1</v>
      </c>
      <c r="G84" s="84" t="s">
        <v>54</v>
      </c>
      <c r="H84" s="85" t="s">
        <v>15</v>
      </c>
      <c r="I84" s="85"/>
      <c r="J84" s="156" t="s">
        <v>137</v>
      </c>
      <c r="K84" s="195">
        <f t="shared" si="5"/>
        <v>30000</v>
      </c>
      <c r="L84" s="86"/>
      <c r="M84" s="87">
        <v>10000</v>
      </c>
      <c r="N84" s="126"/>
      <c r="O84" s="87">
        <v>15000</v>
      </c>
      <c r="P84" s="87">
        <v>15000</v>
      </c>
      <c r="Q84" s="87"/>
      <c r="R84" s="87"/>
      <c r="S84" s="88" t="b">
        <v>0</v>
      </c>
      <c r="T84"/>
      <c r="U84" s="5" t="b">
        <f t="shared" si="4"/>
        <v>0</v>
      </c>
    </row>
    <row r="85" spans="1:21" x14ac:dyDescent="0.3">
      <c r="A85" s="81">
        <v>1430</v>
      </c>
      <c r="B85" s="140" t="str" cm="1">
        <f t="array" ref="B85">IFERROR(_xlfn.SWITCH(VLOOKUP($A85,#REF!,2,FALSE),#REF!,#REF!,#REF!,#REF!,#REF!,#REF!,#REF!,#REF!,#REF!,#REF!,#REF!,#REF!,#REF!,#REF!),"")</f>
        <v/>
      </c>
      <c r="C85" s="198" t="s">
        <v>293</v>
      </c>
      <c r="D85" s="215" t="str">
        <f>IFERROR(VLOOKUP($A85,#REF!,3,FALSE),"")</f>
        <v/>
      </c>
      <c r="E85" s="216" t="str">
        <f>IFERROR(VLOOKUP($A85,#REF!,5,FALSE),"")</f>
        <v/>
      </c>
      <c r="F85" s="84" t="s">
        <v>1</v>
      </c>
      <c r="G85" s="105" t="s">
        <v>54</v>
      </c>
      <c r="H85" s="85"/>
      <c r="I85" s="85"/>
      <c r="J85" s="156" t="s">
        <v>251</v>
      </c>
      <c r="K85" s="195">
        <f t="shared" si="5"/>
        <v>3000</v>
      </c>
      <c r="L85" s="115"/>
      <c r="M85" s="87"/>
      <c r="N85" s="246">
        <v>3000</v>
      </c>
      <c r="O85" s="222"/>
      <c r="P85" s="87"/>
      <c r="Q85" s="87"/>
      <c r="R85" s="87"/>
      <c r="S85" s="88" t="b">
        <v>0</v>
      </c>
      <c r="U85" s="5" t="b">
        <f t="shared" si="4"/>
        <v>0</v>
      </c>
    </row>
    <row r="86" spans="1:21" x14ac:dyDescent="0.3">
      <c r="A86" s="84">
        <v>1799</v>
      </c>
      <c r="B86" s="140" t="str" cm="1">
        <f t="array" ref="B86">IFERROR(_xlfn.SWITCH(VLOOKUP($A86,#REF!,2,FALSE),#REF!,#REF!,#REF!,#REF!,#REF!,#REF!,#REF!,#REF!,#REF!,#REF!,#REF!,#REF!,#REF!,#REF!),"")</f>
        <v/>
      </c>
      <c r="C86" s="89" t="s">
        <v>34</v>
      </c>
      <c r="D86" s="144" t="str">
        <f>IFERROR(VLOOKUP($A86,#REF!,3,FALSE),"")</f>
        <v/>
      </c>
      <c r="E86" s="145" t="str">
        <f>IFERROR(VLOOKUP($A86,#REF!,5,FALSE),"")</f>
        <v/>
      </c>
      <c r="F86" s="84" t="s">
        <v>1</v>
      </c>
      <c r="G86" s="84" t="s">
        <v>129</v>
      </c>
      <c r="H86" s="85"/>
      <c r="I86" s="84"/>
      <c r="J86" s="156" t="s">
        <v>267</v>
      </c>
      <c r="K86" s="195">
        <f t="shared" si="5"/>
        <v>3500</v>
      </c>
      <c r="L86" s="90"/>
      <c r="M86" s="87"/>
      <c r="N86" s="126">
        <v>3500</v>
      </c>
      <c r="O86" s="87"/>
      <c r="P86" s="87"/>
      <c r="Q86" s="87"/>
      <c r="R86" s="87"/>
      <c r="S86" s="88" t="b">
        <v>0</v>
      </c>
      <c r="U86" s="5" t="b">
        <f t="shared" si="4"/>
        <v>0</v>
      </c>
    </row>
    <row r="87" spans="1:21" x14ac:dyDescent="0.3">
      <c r="A87" s="199">
        <v>1850</v>
      </c>
      <c r="B87" s="200" t="str" cm="1">
        <f t="array" ref="B87">IFERROR(_xlfn.SWITCH(VLOOKUP($A87,#REF!,2,FALSE),#REF!,#REF!,#REF!,#REF!,#REF!,#REF!,#REF!,#REF!,#REF!,#REF!,#REF!,#REF!,#REF!,#REF!),"")</f>
        <v/>
      </c>
      <c r="C87" s="241" t="s">
        <v>296</v>
      </c>
      <c r="D87" s="201" t="str">
        <f>IFERROR(VLOOKUP($A87,#REF!,3,FALSE),"")</f>
        <v/>
      </c>
      <c r="E87" s="202" t="str">
        <f>IFERROR(VLOOKUP($A87,#REF!,5,FALSE),"")</f>
        <v/>
      </c>
      <c r="F87" s="203" t="s">
        <v>1</v>
      </c>
      <c r="G87" s="203" t="s">
        <v>17</v>
      </c>
      <c r="H87" s="242"/>
      <c r="I87" s="199"/>
      <c r="J87" s="204" t="s">
        <v>273</v>
      </c>
      <c r="K87" s="243"/>
      <c r="L87" s="205"/>
      <c r="M87" s="206"/>
      <c r="N87" s="206">
        <v>5000</v>
      </c>
      <c r="O87" s="108"/>
      <c r="P87" s="108"/>
      <c r="Q87" s="109"/>
      <c r="R87" s="109"/>
      <c r="S87" s="88" t="b">
        <v>0</v>
      </c>
      <c r="U87" s="5" t="b">
        <f t="shared" si="4"/>
        <v>0</v>
      </c>
    </row>
    <row r="88" spans="1:21" ht="38.4" x14ac:dyDescent="0.3">
      <c r="A88" s="81">
        <v>1950</v>
      </c>
      <c r="B88" s="140" t="str" cm="1">
        <f t="array" ref="B88">IFERROR(_xlfn.SWITCH(VLOOKUP($A88,#REF!,2,FALSE),#REF!,#REF!,#REF!,#REF!,#REF!,#REF!,#REF!,#REF!,#REF!,#REF!,#REF!,#REF!,#REF!,#REF!),"")</f>
        <v/>
      </c>
      <c r="C88" s="83" t="s">
        <v>106</v>
      </c>
      <c r="D88" s="144" t="str">
        <f>IFERROR(VLOOKUP($A88,#REF!,3,FALSE),"")</f>
        <v/>
      </c>
      <c r="E88" s="145" t="str">
        <f>IFERROR(VLOOKUP($A88,#REF!,5,FALSE),"")</f>
        <v/>
      </c>
      <c r="F88" s="84" t="s">
        <v>1</v>
      </c>
      <c r="G88" s="84" t="s">
        <v>127</v>
      </c>
      <c r="H88" s="85" t="s">
        <v>15</v>
      </c>
      <c r="I88" s="85"/>
      <c r="J88" s="154" t="s">
        <v>26</v>
      </c>
      <c r="K88" s="195">
        <f t="shared" ref="K88:K104" si="6">SUM(N88:R88)</f>
        <v>3000</v>
      </c>
      <c r="L88" s="161" t="s">
        <v>206</v>
      </c>
      <c r="M88" s="109">
        <v>5000</v>
      </c>
      <c r="N88" s="128">
        <v>3000</v>
      </c>
      <c r="O88" s="109"/>
      <c r="P88" s="109"/>
      <c r="Q88" s="109"/>
      <c r="R88" s="109"/>
      <c r="S88" s="88" t="b">
        <v>0</v>
      </c>
      <c r="U88" s="5" t="b">
        <f t="shared" si="4"/>
        <v>0</v>
      </c>
    </row>
    <row r="89" spans="1:21" x14ac:dyDescent="0.3">
      <c r="A89" s="132">
        <v>2086</v>
      </c>
      <c r="B89" s="143" t="str" cm="1">
        <f t="array" ref="B89">IFERROR(_xlfn.SWITCH(VLOOKUP($A89,#REF!,2,FALSE),#REF!,#REF!,#REF!,#REF!,#REF!,#REF!,#REF!,#REF!,#REF!,#REF!,#REF!,#REF!,#REF!,#REF!),"")</f>
        <v/>
      </c>
      <c r="C89" s="133" t="s">
        <v>313</v>
      </c>
      <c r="D89" s="150" t="str">
        <f>IFERROR(VLOOKUP($A89,#REF!,3,FALSE),"")</f>
        <v/>
      </c>
      <c r="E89" s="151" t="str">
        <f>IFERROR(VLOOKUP($A89,#REF!,5,FALSE),"")</f>
        <v/>
      </c>
      <c r="F89" s="132" t="s">
        <v>18</v>
      </c>
      <c r="G89" s="132" t="s">
        <v>47</v>
      </c>
      <c r="H89" s="134"/>
      <c r="I89" s="132"/>
      <c r="J89" s="135" t="s">
        <v>238</v>
      </c>
      <c r="K89" s="195">
        <f t="shared" si="6"/>
        <v>0</v>
      </c>
      <c r="L89" s="136" t="s">
        <v>179</v>
      </c>
      <c r="M89" s="109"/>
      <c r="N89" s="128"/>
      <c r="O89" s="108"/>
      <c r="P89" s="108"/>
      <c r="Q89" s="109"/>
      <c r="R89" s="109"/>
      <c r="S89" s="88" t="b">
        <v>1</v>
      </c>
      <c r="T89" t="s">
        <v>12</v>
      </c>
      <c r="U89" s="5" t="b">
        <f t="shared" si="4"/>
        <v>0</v>
      </c>
    </row>
    <row r="90" spans="1:21" x14ac:dyDescent="0.3">
      <c r="A90" s="84">
        <v>1399</v>
      </c>
      <c r="B90" s="140" t="str" cm="1">
        <f t="array" ref="B90">IFERROR(_xlfn.SWITCH(VLOOKUP($A90,#REF!,2,FALSE),#REF!,#REF!,#REF!,#REF!,#REF!,#REF!,#REF!,#REF!,#REF!,#REF!,#REF!,#REF!,#REF!,#REF!),"")</f>
        <v/>
      </c>
      <c r="C90" s="83" t="s">
        <v>43</v>
      </c>
      <c r="D90" s="144" t="str">
        <f>IFERROR(VLOOKUP($A90,#REF!,3,FALSE),"")</f>
        <v/>
      </c>
      <c r="E90" s="145" t="str">
        <f>IFERROR(VLOOKUP($A90,#REF!,5,FALSE),"")</f>
        <v/>
      </c>
      <c r="F90" s="84" t="s">
        <v>1</v>
      </c>
      <c r="G90" s="84" t="s">
        <v>54</v>
      </c>
      <c r="H90" s="85" t="s">
        <v>15</v>
      </c>
      <c r="I90" s="84"/>
      <c r="J90" s="158" t="s">
        <v>149</v>
      </c>
      <c r="K90" s="195">
        <f t="shared" si="6"/>
        <v>10000</v>
      </c>
      <c r="L90" s="117"/>
      <c r="M90" s="87"/>
      <c r="N90" s="126"/>
      <c r="O90" s="87"/>
      <c r="P90" s="87"/>
      <c r="Q90" s="87">
        <v>10000</v>
      </c>
      <c r="R90" s="87"/>
      <c r="S90" s="88" t="b">
        <v>0</v>
      </c>
      <c r="T90"/>
      <c r="U90" s="5" t="b">
        <f t="shared" si="4"/>
        <v>1</v>
      </c>
    </row>
    <row r="91" spans="1:21" ht="20.399999999999999" x14ac:dyDescent="0.3">
      <c r="A91" s="132">
        <v>1950</v>
      </c>
      <c r="B91" s="143" t="str" cm="1">
        <f t="array" ref="B91">IFERROR(_xlfn.SWITCH(VLOOKUP($A91,#REF!,2,FALSE),#REF!,#REF!,#REF!,#REF!,#REF!,#REF!,#REF!,#REF!,#REF!,#REF!,#REF!,#REF!,#REF!,#REF!),"")</f>
        <v/>
      </c>
      <c r="C91" s="133" t="s">
        <v>106</v>
      </c>
      <c r="D91" s="150" t="str">
        <f>IFERROR(VLOOKUP($A91,#REF!,3,FALSE),"")</f>
        <v/>
      </c>
      <c r="E91" s="151" t="str">
        <f>IFERROR(VLOOKUP($A91,#REF!,5,FALSE),"")</f>
        <v/>
      </c>
      <c r="F91" s="84" t="s">
        <v>1</v>
      </c>
      <c r="G91" s="84" t="s">
        <v>128</v>
      </c>
      <c r="H91" s="134"/>
      <c r="I91" s="132"/>
      <c r="J91" s="135" t="s">
        <v>284</v>
      </c>
      <c r="K91" s="195">
        <f t="shared" si="6"/>
        <v>3000</v>
      </c>
      <c r="L91" s="136" t="s">
        <v>186</v>
      </c>
      <c r="M91" s="109"/>
      <c r="N91" s="128">
        <v>3000</v>
      </c>
      <c r="O91" s="108"/>
      <c r="P91" s="108"/>
      <c r="Q91" s="109"/>
      <c r="R91" s="109"/>
      <c r="S91" s="88" t="b">
        <v>1</v>
      </c>
      <c r="U91" s="5" t="b">
        <f t="shared" si="4"/>
        <v>0</v>
      </c>
    </row>
    <row r="92" spans="1:21" x14ac:dyDescent="0.3">
      <c r="A92" s="122">
        <v>2021</v>
      </c>
      <c r="B92" s="142" t="str" cm="1">
        <f t="array" ref="B92">IFERROR(_xlfn.SWITCH(VLOOKUP($A92,#REF!,2,FALSE),#REF!,#REF!,#REF!,#REF!,#REF!,#REF!,#REF!,#REF!,#REF!,#REF!,#REF!,#REF!,#REF!,#REF!),"")</f>
        <v/>
      </c>
      <c r="C92" s="123" t="s">
        <v>299</v>
      </c>
      <c r="D92" s="148" t="str">
        <f>IFERROR(VLOOKUP($A92,#REF!,3,FALSE),"")</f>
        <v/>
      </c>
      <c r="E92" s="149" t="str">
        <f>IFERROR(VLOOKUP($A92,#REF!,5,FALSE),"")</f>
        <v/>
      </c>
      <c r="F92" s="122" t="s">
        <v>1</v>
      </c>
      <c r="G92" s="122" t="s">
        <v>129</v>
      </c>
      <c r="H92" s="85"/>
      <c r="I92" s="122"/>
      <c r="J92" s="160" t="s">
        <v>257</v>
      </c>
      <c r="K92" s="195">
        <f t="shared" si="6"/>
        <v>4000</v>
      </c>
      <c r="L92" s="86"/>
      <c r="M92" s="87"/>
      <c r="N92" s="126">
        <v>4000</v>
      </c>
      <c r="O92" s="87"/>
      <c r="P92" s="87"/>
      <c r="Q92" s="87"/>
      <c r="R92" s="87"/>
      <c r="S92" s="88" t="b">
        <v>0</v>
      </c>
      <c r="U92" s="5" t="b">
        <f t="shared" si="4"/>
        <v>0</v>
      </c>
    </row>
    <row r="93" spans="1:21" ht="19.2" x14ac:dyDescent="0.3">
      <c r="A93" s="132">
        <v>1401</v>
      </c>
      <c r="B93" s="143" t="str" cm="1">
        <f t="array" ref="B93">IFERROR(_xlfn.SWITCH(VLOOKUP($A93,#REF!,2,FALSE),#REF!,#REF!,#REF!,#REF!,#REF!,#REF!,#REF!,#REF!,#REF!,#REF!,#REF!,#REF!,#REF!,#REF!),"")</f>
        <v/>
      </c>
      <c r="C93" s="133" t="s">
        <v>286</v>
      </c>
      <c r="D93" s="150" t="str">
        <f>IFERROR(VLOOKUP($A93,#REF!,3,FALSE),"")</f>
        <v/>
      </c>
      <c r="E93" s="151" t="str">
        <f>IFERROR(VLOOKUP($A93,#REF!,5,FALSE),"")</f>
        <v/>
      </c>
      <c r="F93" s="132" t="s">
        <v>1</v>
      </c>
      <c r="G93" s="132" t="s">
        <v>54</v>
      </c>
      <c r="H93" s="134"/>
      <c r="I93" s="132"/>
      <c r="J93" s="135" t="s">
        <v>204</v>
      </c>
      <c r="K93" s="195">
        <f t="shared" si="6"/>
        <v>15000</v>
      </c>
      <c r="L93" s="162" t="s">
        <v>213</v>
      </c>
      <c r="M93" s="109"/>
      <c r="N93" s="128"/>
      <c r="O93" s="108">
        <v>15000</v>
      </c>
      <c r="P93" s="108"/>
      <c r="Q93" s="109"/>
      <c r="R93" s="109"/>
      <c r="S93" s="88" t="b">
        <v>1</v>
      </c>
      <c r="T93"/>
      <c r="U93" s="5" t="b">
        <f t="shared" si="4"/>
        <v>0</v>
      </c>
    </row>
    <row r="94" spans="1:21" x14ac:dyDescent="0.3">
      <c r="A94" s="81">
        <v>1400</v>
      </c>
      <c r="B94" s="140" t="str" cm="1">
        <f t="array" ref="B94">IFERROR(_xlfn.SWITCH(VLOOKUP($A94,#REF!,2,FALSE),#REF!,#REF!,#REF!,#REF!,#REF!,#REF!,#REF!,#REF!,#REF!,#REF!,#REF!,#REF!,#REF!,#REF!),"")</f>
        <v/>
      </c>
      <c r="C94" s="83" t="s">
        <v>102</v>
      </c>
      <c r="D94" s="144" t="str">
        <f>IFERROR(VLOOKUP($A94,#REF!,3,FALSE),"")</f>
        <v/>
      </c>
      <c r="E94" s="145" t="str">
        <f>IFERROR(VLOOKUP($A94,#REF!,5,FALSE),"")</f>
        <v/>
      </c>
      <c r="F94" s="84" t="s">
        <v>1</v>
      </c>
      <c r="G94" s="84" t="s">
        <v>54</v>
      </c>
      <c r="H94" s="85" t="s">
        <v>15</v>
      </c>
      <c r="I94" s="85"/>
      <c r="J94" s="154" t="s">
        <v>29</v>
      </c>
      <c r="K94" s="195">
        <f t="shared" si="6"/>
        <v>5000</v>
      </c>
      <c r="L94" s="118"/>
      <c r="M94" s="109">
        <v>5000</v>
      </c>
      <c r="N94" s="128"/>
      <c r="O94" s="109">
        <v>5000</v>
      </c>
      <c r="P94" s="109"/>
      <c r="Q94" s="109"/>
      <c r="R94" s="109"/>
      <c r="S94" s="88" t="b">
        <v>0</v>
      </c>
      <c r="T94"/>
      <c r="U94" s="5" t="b">
        <f t="shared" si="4"/>
        <v>0</v>
      </c>
    </row>
    <row r="95" spans="1:21" x14ac:dyDescent="0.3">
      <c r="A95" s="81">
        <v>2032</v>
      </c>
      <c r="B95" s="140" t="str" cm="1">
        <f t="array" ref="B95">IFERROR(_xlfn.SWITCH(VLOOKUP($A95,#REF!,2,FALSE),#REF!,#REF!,#REF!,#REF!,#REF!,#REF!,#REF!,#REF!,#REF!,#REF!,#REF!,#REF!,#REF!,#REF!),"")</f>
        <v/>
      </c>
      <c r="C95" s="83" t="s">
        <v>38</v>
      </c>
      <c r="D95" s="144" t="str">
        <f>IFERROR(VLOOKUP($A95,#REF!,3,FALSE),"")</f>
        <v/>
      </c>
      <c r="E95" s="145" t="str">
        <f>IFERROR(VLOOKUP($A95,#REF!,5,FALSE),"")</f>
        <v/>
      </c>
      <c r="F95" s="84" t="s">
        <v>1</v>
      </c>
      <c r="G95" s="84" t="s">
        <v>127</v>
      </c>
      <c r="H95" s="85"/>
      <c r="I95" s="122"/>
      <c r="J95" s="159" t="s">
        <v>261</v>
      </c>
      <c r="K95" s="195">
        <f t="shared" si="6"/>
        <v>3500</v>
      </c>
      <c r="L95" s="116"/>
      <c r="M95" s="87"/>
      <c r="N95" s="126">
        <v>3500</v>
      </c>
      <c r="O95" s="87"/>
      <c r="P95" s="87"/>
      <c r="Q95" s="87"/>
      <c r="R95" s="87"/>
      <c r="S95" s="88" t="b">
        <v>0</v>
      </c>
      <c r="T95"/>
      <c r="U95" s="5" t="b">
        <f t="shared" si="4"/>
        <v>0</v>
      </c>
    </row>
    <row r="96" spans="1:21" x14ac:dyDescent="0.3">
      <c r="A96" s="84">
        <v>2032</v>
      </c>
      <c r="B96" s="140" t="str" cm="1">
        <f t="array" ref="B96">IFERROR(_xlfn.SWITCH(VLOOKUP($A96,#REF!,2,FALSE),#REF!,#REF!,#REF!,#REF!,#REF!,#REF!,#REF!,#REF!,#REF!,#REF!,#REF!,#REF!,#REF!,#REF!),"")</f>
        <v/>
      </c>
      <c r="C96" s="89" t="s">
        <v>300</v>
      </c>
      <c r="D96" s="144" t="str">
        <f>IFERROR(VLOOKUP($A96,#REF!,3,FALSE),"")</f>
        <v/>
      </c>
      <c r="E96" s="145" t="str">
        <f>IFERROR(VLOOKUP($A96,#REF!,5,FALSE),"")</f>
        <v/>
      </c>
      <c r="F96" s="84" t="s">
        <v>1</v>
      </c>
      <c r="G96" s="84" t="s">
        <v>129</v>
      </c>
      <c r="H96" s="85"/>
      <c r="I96" s="84"/>
      <c r="J96" s="156" t="s">
        <v>271</v>
      </c>
      <c r="K96" s="195">
        <f t="shared" si="6"/>
        <v>5000</v>
      </c>
      <c r="L96" s="90"/>
      <c r="M96" s="87"/>
      <c r="N96" s="126">
        <v>5000</v>
      </c>
      <c r="O96" s="87"/>
      <c r="P96" s="87"/>
      <c r="Q96" s="87"/>
      <c r="R96" s="87"/>
      <c r="S96" s="88" t="b">
        <v>0</v>
      </c>
      <c r="U96" s="5" t="b">
        <f t="shared" si="4"/>
        <v>0</v>
      </c>
    </row>
    <row r="97" spans="1:21" x14ac:dyDescent="0.3">
      <c r="A97" s="81">
        <v>1718</v>
      </c>
      <c r="B97" s="140" t="str" cm="1">
        <f t="array" ref="B97">IFERROR(_xlfn.SWITCH(VLOOKUP($A97,#REF!,2,FALSE),#REF!,#REF!,#REF!,#REF!,#REF!,#REF!,#REF!,#REF!,#REF!,#REF!,#REF!,#REF!,#REF!,#REF!),"")</f>
        <v/>
      </c>
      <c r="C97" s="83" t="s">
        <v>103</v>
      </c>
      <c r="D97" s="144" t="str">
        <f>IFERROR(VLOOKUP($A97,#REF!,3,FALSE),"")</f>
        <v/>
      </c>
      <c r="E97" s="145" t="str">
        <f>IFERROR(VLOOKUP($A97,#REF!,5,FALSE),"")</f>
        <v/>
      </c>
      <c r="F97" s="84" t="s">
        <v>13</v>
      </c>
      <c r="G97" s="84" t="s">
        <v>24</v>
      </c>
      <c r="H97" s="85" t="s">
        <v>15</v>
      </c>
      <c r="I97" s="111"/>
      <c r="J97" s="156" t="s">
        <v>208</v>
      </c>
      <c r="K97" s="195">
        <f t="shared" si="6"/>
        <v>55000</v>
      </c>
      <c r="L97" s="86"/>
      <c r="M97" s="87"/>
      <c r="N97" s="126"/>
      <c r="O97" s="87">
        <v>25000</v>
      </c>
      <c r="P97" s="87"/>
      <c r="Q97" s="87"/>
      <c r="R97" s="87">
        <v>30000</v>
      </c>
      <c r="S97" s="88" t="b">
        <v>0</v>
      </c>
      <c r="T97"/>
      <c r="U97" s="5" t="b">
        <f t="shared" si="4"/>
        <v>1</v>
      </c>
    </row>
    <row r="98" spans="1:21" x14ac:dyDescent="0.3">
      <c r="A98" s="84">
        <v>2067</v>
      </c>
      <c r="B98" s="140"/>
      <c r="C98" s="89" t="s">
        <v>121</v>
      </c>
      <c r="D98" s="144" t="str">
        <f>IFERROR(VLOOKUP($A98,#REF!,3,FALSE),"")</f>
        <v/>
      </c>
      <c r="E98" s="145" t="str">
        <f>IFERROR(VLOOKUP($A98,#REF!,5,FALSE),"")</f>
        <v/>
      </c>
      <c r="F98" s="84" t="s">
        <v>1</v>
      </c>
      <c r="G98" s="84" t="s">
        <v>129</v>
      </c>
      <c r="H98" s="85"/>
      <c r="I98" s="84"/>
      <c r="J98" s="156" t="s">
        <v>268</v>
      </c>
      <c r="K98" s="195">
        <f t="shared" si="6"/>
        <v>3000</v>
      </c>
      <c r="L98" s="90"/>
      <c r="M98" s="87"/>
      <c r="N98" s="126">
        <v>3000</v>
      </c>
      <c r="O98" s="87"/>
      <c r="P98" s="87"/>
      <c r="Q98" s="87"/>
      <c r="R98" s="87"/>
      <c r="S98" s="88" t="b">
        <v>0</v>
      </c>
      <c r="U98" s="5" t="b">
        <f t="shared" si="4"/>
        <v>0</v>
      </c>
    </row>
    <row r="99" spans="1:21" x14ac:dyDescent="0.3">
      <c r="A99" s="132">
        <v>2072</v>
      </c>
      <c r="B99" s="143" t="str" cm="1">
        <f t="array" ref="B99">IFERROR(_xlfn.SWITCH(VLOOKUP($A99,#REF!,2,FALSE),#REF!,#REF!,#REF!,#REF!,#REF!,#REF!,#REF!,#REF!,#REF!,#REF!,#REF!,#REF!,#REF!,#REF!),"")</f>
        <v/>
      </c>
      <c r="C99" s="133" t="s">
        <v>301</v>
      </c>
      <c r="D99" s="150" t="str">
        <f>IFERROR(VLOOKUP($A99,#REF!,3,FALSE),"")</f>
        <v/>
      </c>
      <c r="E99" s="151" t="str">
        <f>IFERROR(VLOOKUP($A99,#REF!,5,FALSE),"")</f>
        <v/>
      </c>
      <c r="F99" s="132" t="s">
        <v>1</v>
      </c>
      <c r="G99" s="132" t="s">
        <v>127</v>
      </c>
      <c r="H99" s="134"/>
      <c r="I99" s="132"/>
      <c r="J99" s="135" t="s">
        <v>201</v>
      </c>
      <c r="K99" s="195">
        <f t="shared" si="6"/>
        <v>2000</v>
      </c>
      <c r="L99" s="136" t="s">
        <v>186</v>
      </c>
      <c r="M99" s="109"/>
      <c r="N99" s="128">
        <v>2000</v>
      </c>
      <c r="O99" s="108"/>
      <c r="P99" s="108"/>
      <c r="Q99" s="109"/>
      <c r="R99" s="109"/>
      <c r="S99" s="88" t="b">
        <v>1</v>
      </c>
      <c r="U99" s="5" t="b">
        <f t="shared" si="4"/>
        <v>0</v>
      </c>
    </row>
    <row r="100" spans="1:21" x14ac:dyDescent="0.3">
      <c r="A100" s="81">
        <v>2120</v>
      </c>
      <c r="B100" s="140" t="str" cm="1">
        <f t="array" ref="B100">IFERROR(_xlfn.SWITCH(VLOOKUP($A100,#REF!,2,FALSE),#REF!,#REF!,#REF!,#REF!,#REF!,#REF!,#REF!,#REF!,#REF!,#REF!,#REF!,#REF!,#REF!,#REF!),"")</f>
        <v/>
      </c>
      <c r="C100" s="83" t="s">
        <v>125</v>
      </c>
      <c r="D100" s="144" t="str">
        <f>IFERROR(VLOOKUP($A100,#REF!,3,FALSE),"")</f>
        <v/>
      </c>
      <c r="E100" s="145" t="str">
        <f>IFERROR(VLOOKUP($A100,#REF!,5,FALSE),"")</f>
        <v/>
      </c>
      <c r="F100" s="84" t="s">
        <v>13</v>
      </c>
      <c r="G100" s="85" t="s">
        <v>32</v>
      </c>
      <c r="H100" s="85" t="s">
        <v>15</v>
      </c>
      <c r="I100" s="85"/>
      <c r="J100" s="156" t="s">
        <v>33</v>
      </c>
      <c r="K100" s="195">
        <f t="shared" si="6"/>
        <v>20000</v>
      </c>
      <c r="L100" s="86"/>
      <c r="M100" s="87">
        <v>15000</v>
      </c>
      <c r="N100" s="126"/>
      <c r="O100" s="87"/>
      <c r="P100" s="87"/>
      <c r="Q100" s="87"/>
      <c r="R100" s="87">
        <v>20000</v>
      </c>
      <c r="S100" s="88" t="b">
        <v>0</v>
      </c>
      <c r="T100"/>
      <c r="U100" s="5" t="b">
        <f t="shared" si="4"/>
        <v>1</v>
      </c>
    </row>
    <row r="101" spans="1:21" x14ac:dyDescent="0.3">
      <c r="A101" s="132">
        <v>2072</v>
      </c>
      <c r="B101" s="143" t="str" cm="1">
        <f t="array" ref="B101">IFERROR(_xlfn.SWITCH(VLOOKUP($A101,#REF!,2,FALSE),#REF!,#REF!,#REF!,#REF!,#REF!,#REF!,#REF!,#REF!,#REF!,#REF!,#REF!,#REF!,#REF!,#REF!),"")</f>
        <v/>
      </c>
      <c r="C101" s="133" t="s">
        <v>301</v>
      </c>
      <c r="D101" s="150" t="str">
        <f>IFERROR(VLOOKUP($A101,#REF!,3,FALSE),"")</f>
        <v/>
      </c>
      <c r="E101" s="151" t="str">
        <f>IFERROR(VLOOKUP($A101,#REF!,5,FALSE),"")</f>
        <v/>
      </c>
      <c r="F101" s="132" t="s">
        <v>1</v>
      </c>
      <c r="G101" s="132" t="s">
        <v>127</v>
      </c>
      <c r="H101" s="134"/>
      <c r="I101" s="132"/>
      <c r="J101" s="135" t="s">
        <v>243</v>
      </c>
      <c r="K101" s="195">
        <f t="shared" si="6"/>
        <v>1000</v>
      </c>
      <c r="L101" s="136" t="s">
        <v>186</v>
      </c>
      <c r="M101" s="109"/>
      <c r="N101" s="128">
        <v>1000</v>
      </c>
      <c r="O101" s="108"/>
      <c r="P101" s="108"/>
      <c r="Q101" s="109"/>
      <c r="R101" s="109"/>
      <c r="S101" s="88" t="b">
        <v>0</v>
      </c>
      <c r="T101"/>
      <c r="U101" s="5" t="b">
        <f t="shared" si="4"/>
        <v>0</v>
      </c>
    </row>
    <row r="102" spans="1:21" x14ac:dyDescent="0.3">
      <c r="A102" s="132">
        <v>2086</v>
      </c>
      <c r="B102" s="143" t="str" cm="1">
        <f t="array" ref="B102">IFERROR(_xlfn.SWITCH(VLOOKUP($A102,#REF!,2,FALSE),#REF!,#REF!,#REF!,#REF!,#REF!,#REF!,#REF!,#REF!,#REF!,#REF!,#REF!,#REF!,#REF!,#REF!),"")</f>
        <v/>
      </c>
      <c r="C102" s="133" t="s">
        <v>313</v>
      </c>
      <c r="D102" s="150" t="str">
        <f>IFERROR(VLOOKUP($A102,#REF!,3,FALSE),"")</f>
        <v/>
      </c>
      <c r="E102" s="151" t="str">
        <f>IFERROR(VLOOKUP($A102,#REF!,5,FALSE),"")</f>
        <v/>
      </c>
      <c r="F102" s="132" t="s">
        <v>1</v>
      </c>
      <c r="G102" s="132" t="s">
        <v>127</v>
      </c>
      <c r="H102" s="134"/>
      <c r="I102" s="132"/>
      <c r="J102" s="135" t="s">
        <v>201</v>
      </c>
      <c r="K102" s="195">
        <f t="shared" si="6"/>
        <v>2000</v>
      </c>
      <c r="L102" s="136" t="s">
        <v>186</v>
      </c>
      <c r="M102" s="109"/>
      <c r="N102" s="128">
        <v>2000</v>
      </c>
      <c r="O102" s="108"/>
      <c r="P102" s="108"/>
      <c r="Q102" s="109"/>
      <c r="R102" s="109"/>
      <c r="S102" s="88" t="b">
        <v>1</v>
      </c>
      <c r="U102" s="5" t="b">
        <f t="shared" si="4"/>
        <v>0</v>
      </c>
    </row>
    <row r="103" spans="1:21" ht="20.399999999999999" x14ac:dyDescent="0.3">
      <c r="A103" s="132">
        <v>2086</v>
      </c>
      <c r="B103" s="143" t="str" cm="1">
        <f t="array" ref="B103">IFERROR(_xlfn.SWITCH(VLOOKUP($A103,#REF!,2,FALSE),#REF!,#REF!,#REF!,#REF!,#REF!,#REF!,#REF!,#REF!,#REF!,#REF!,#REF!,#REF!,#REF!,#REF!),"")</f>
        <v/>
      </c>
      <c r="C103" s="133" t="s">
        <v>313</v>
      </c>
      <c r="D103" s="150" t="str">
        <f>IFERROR(VLOOKUP($A103,#REF!,3,FALSE),"")</f>
        <v/>
      </c>
      <c r="E103" s="151" t="str">
        <f>IFERROR(VLOOKUP($A103,#REF!,5,FALSE),"")</f>
        <v/>
      </c>
      <c r="F103" s="132" t="s">
        <v>1</v>
      </c>
      <c r="G103" s="132" t="s">
        <v>127</v>
      </c>
      <c r="H103" s="134"/>
      <c r="I103" s="132"/>
      <c r="J103" s="135" t="s">
        <v>242</v>
      </c>
      <c r="K103" s="195">
        <f t="shared" si="6"/>
        <v>3000</v>
      </c>
      <c r="L103" s="136" t="s">
        <v>310</v>
      </c>
      <c r="M103" s="109"/>
      <c r="N103" s="128">
        <v>3000</v>
      </c>
      <c r="O103" s="108"/>
      <c r="P103" s="108"/>
      <c r="Q103" s="109"/>
      <c r="R103" s="109"/>
      <c r="S103" s="88" t="b">
        <v>1</v>
      </c>
      <c r="U103" s="5" t="b">
        <f t="shared" si="4"/>
        <v>0</v>
      </c>
    </row>
    <row r="104" spans="1:21" x14ac:dyDescent="0.3">
      <c r="A104" s="132">
        <v>2292</v>
      </c>
      <c r="B104" s="143" t="s">
        <v>22</v>
      </c>
      <c r="C104" s="133" t="s">
        <v>304</v>
      </c>
      <c r="D104" s="150" t="str">
        <f>IFERROR(VLOOKUP($A104,#REF!,3,FALSE),"")</f>
        <v/>
      </c>
      <c r="E104" s="151" t="str">
        <f>IFERROR(VLOOKUP($A104,#REF!,5,FALSE),"")</f>
        <v/>
      </c>
      <c r="F104" s="132" t="s">
        <v>13</v>
      </c>
      <c r="G104" s="132" t="s">
        <v>32</v>
      </c>
      <c r="H104" s="134"/>
      <c r="I104" s="132"/>
      <c r="J104" s="135" t="s">
        <v>207</v>
      </c>
      <c r="K104" s="195">
        <f t="shared" si="6"/>
        <v>36000</v>
      </c>
      <c r="L104" s="136" t="s">
        <v>176</v>
      </c>
      <c r="M104" s="109"/>
      <c r="N104" s="128">
        <v>7000</v>
      </c>
      <c r="O104" s="108">
        <v>14000</v>
      </c>
      <c r="P104" s="108">
        <v>15000</v>
      </c>
      <c r="Q104" s="109"/>
      <c r="R104" s="109"/>
      <c r="S104" s="88" t="b">
        <v>0</v>
      </c>
      <c r="U104" s="5" t="b">
        <f t="shared" si="4"/>
        <v>0</v>
      </c>
    </row>
    <row r="105" spans="1:21" x14ac:dyDescent="0.3">
      <c r="A105" s="84">
        <v>2120</v>
      </c>
      <c r="B105" s="140" t="s">
        <v>173</v>
      </c>
      <c r="C105" s="83" t="s">
        <v>125</v>
      </c>
      <c r="D105" s="144" t="s">
        <v>10</v>
      </c>
      <c r="E105" s="145" t="s">
        <v>11</v>
      </c>
      <c r="F105" s="84" t="s">
        <v>1</v>
      </c>
      <c r="G105" s="84" t="s">
        <v>35</v>
      </c>
      <c r="H105" s="85" t="s">
        <v>315</v>
      </c>
      <c r="I105" s="84"/>
      <c r="J105" s="158" t="s">
        <v>314</v>
      </c>
      <c r="K105" s="195"/>
      <c r="L105" s="116"/>
      <c r="M105" s="87"/>
      <c r="N105" s="126">
        <v>7000</v>
      </c>
      <c r="O105" s="87"/>
      <c r="P105" s="87"/>
      <c r="Q105" s="87"/>
      <c r="R105" s="87"/>
      <c r="S105" s="88" t="b">
        <v>0</v>
      </c>
      <c r="U105" s="5" t="b">
        <f t="shared" si="4"/>
        <v>0</v>
      </c>
    </row>
    <row r="106" spans="1:21" ht="20.399999999999999" x14ac:dyDescent="0.3">
      <c r="A106" s="132">
        <v>2292</v>
      </c>
      <c r="B106" s="143" t="s">
        <v>22</v>
      </c>
      <c r="C106" s="133" t="s">
        <v>304</v>
      </c>
      <c r="D106" s="150" t="str">
        <f>IFERROR(VLOOKUP($A106,#REF!,3,FALSE),"")</f>
        <v/>
      </c>
      <c r="E106" s="151" t="str">
        <f>IFERROR(VLOOKUP($A106,#REF!,5,FALSE),"")</f>
        <v/>
      </c>
      <c r="F106" s="132" t="s">
        <v>1</v>
      </c>
      <c r="G106" s="132" t="s">
        <v>128</v>
      </c>
      <c r="H106" s="134"/>
      <c r="I106" s="132"/>
      <c r="J106" s="135" t="s">
        <v>240</v>
      </c>
      <c r="K106" s="195">
        <f t="shared" ref="K106:K117" si="7">SUM(N106:R106)</f>
        <v>10000</v>
      </c>
      <c r="L106" s="136" t="s">
        <v>176</v>
      </c>
      <c r="M106" s="109"/>
      <c r="N106" s="128"/>
      <c r="O106" s="108">
        <v>10000</v>
      </c>
      <c r="P106" s="108"/>
      <c r="Q106" s="109"/>
      <c r="R106" s="109"/>
      <c r="S106" s="88" t="b">
        <v>1</v>
      </c>
      <c r="U106" s="5" t="b">
        <f t="shared" si="4"/>
        <v>0</v>
      </c>
    </row>
    <row r="107" spans="1:21" x14ac:dyDescent="0.3">
      <c r="A107" s="84">
        <v>2120</v>
      </c>
      <c r="B107" s="140" t="str" cm="1">
        <f t="array" ref="B107">IFERROR(_xlfn.SWITCH(VLOOKUP($A107,#REF!,2,FALSE),#REF!,#REF!,#REF!,#REF!,#REF!,#REF!,#REF!,#REF!,#REF!,#REF!,#REF!,#REF!,#REF!,#REF!),"")</f>
        <v/>
      </c>
      <c r="C107" s="83" t="s">
        <v>125</v>
      </c>
      <c r="D107" s="144" t="str">
        <f>IFERROR(VLOOKUP($A107,#REF!,3,FALSE),"")</f>
        <v/>
      </c>
      <c r="E107" s="145" t="str">
        <f>IFERROR(VLOOKUP($A107,#REF!,5,FALSE),"")</f>
        <v/>
      </c>
      <c r="F107" s="132" t="s">
        <v>1</v>
      </c>
      <c r="G107" s="84" t="s">
        <v>127</v>
      </c>
      <c r="H107" s="85"/>
      <c r="I107" s="84"/>
      <c r="J107" s="156" t="s">
        <v>260</v>
      </c>
      <c r="K107" s="195">
        <f t="shared" si="7"/>
        <v>3500</v>
      </c>
      <c r="L107" s="116"/>
      <c r="M107" s="87"/>
      <c r="N107" s="126">
        <v>3500</v>
      </c>
      <c r="O107" s="87"/>
      <c r="P107" s="87"/>
      <c r="Q107" s="87"/>
      <c r="R107" s="87"/>
      <c r="S107" s="88" t="b">
        <v>0</v>
      </c>
      <c r="T107"/>
      <c r="U107" s="5" t="b">
        <f t="shared" si="4"/>
        <v>0</v>
      </c>
    </row>
    <row r="108" spans="1:21" x14ac:dyDescent="0.3">
      <c r="A108" s="84">
        <v>2120</v>
      </c>
      <c r="B108" s="140" t="str" cm="1">
        <f t="array" ref="B108">IFERROR(_xlfn.SWITCH(VLOOKUP($A108,#REF!,2,FALSE),#REF!,#REF!,#REF!,#REF!,#REF!,#REF!,#REF!,#REF!,#REF!,#REF!,#REF!,#REF!,#REF!,#REF!),"")</f>
        <v/>
      </c>
      <c r="C108" s="83" t="s">
        <v>125</v>
      </c>
      <c r="D108" s="144" t="str">
        <f>IFERROR(VLOOKUP($A108,#REF!,3,FALSE),"")</f>
        <v/>
      </c>
      <c r="E108" s="145" t="str">
        <f>IFERROR(VLOOKUP($A108,#REF!,5,FALSE),"")</f>
        <v/>
      </c>
      <c r="F108" s="132" t="s">
        <v>1</v>
      </c>
      <c r="G108" s="84" t="s">
        <v>127</v>
      </c>
      <c r="H108" s="85"/>
      <c r="I108" s="84"/>
      <c r="J108" s="156" t="s">
        <v>259</v>
      </c>
      <c r="K108" s="195">
        <f t="shared" si="7"/>
        <v>3500</v>
      </c>
      <c r="L108" s="116" t="s">
        <v>272</v>
      </c>
      <c r="M108" s="87"/>
      <c r="N108" s="126">
        <v>3500</v>
      </c>
      <c r="O108" s="87"/>
      <c r="P108" s="87"/>
      <c r="Q108" s="87"/>
      <c r="R108" s="87"/>
      <c r="S108" s="88" t="b">
        <v>0</v>
      </c>
      <c r="T108"/>
      <c r="U108" s="5" t="b">
        <f t="shared" si="4"/>
        <v>0</v>
      </c>
    </row>
    <row r="109" spans="1:21" ht="19.2" x14ac:dyDescent="0.3">
      <c r="A109" s="231">
        <v>2293</v>
      </c>
      <c r="B109" s="232" t="str" cm="1">
        <f t="array" ref="B109">IFERROR(_xlfn.SWITCH(VLOOKUP($A109,#REF!,2,FALSE),#REF!,#REF!,#REF!,#REF!,#REF!,#REF!,#REF!,#REF!,#REF!,#REF!,#REF!,#REF!,#REF!,#REF!),"")</f>
        <v/>
      </c>
      <c r="C109" s="233" t="s">
        <v>306</v>
      </c>
      <c r="D109" s="234" t="str">
        <f>IFERROR(VLOOKUP($A109,#REF!,3,FALSE),"")</f>
        <v/>
      </c>
      <c r="E109" s="235" t="str">
        <f>IFERROR(VLOOKUP($A109,#REF!,5,FALSE),"")</f>
        <v/>
      </c>
      <c r="F109" s="231" t="s">
        <v>1</v>
      </c>
      <c r="G109" s="231" t="s">
        <v>127</v>
      </c>
      <c r="H109" s="214"/>
      <c r="I109" s="231"/>
      <c r="J109" s="236" t="s">
        <v>241</v>
      </c>
      <c r="K109" s="237">
        <f t="shared" si="7"/>
        <v>0</v>
      </c>
      <c r="L109" s="244" t="s">
        <v>278</v>
      </c>
      <c r="M109" s="222"/>
      <c r="N109" s="238" t="s">
        <v>274</v>
      </c>
      <c r="O109" s="245" t="s">
        <v>274</v>
      </c>
      <c r="P109" s="108"/>
      <c r="Q109" s="109"/>
      <c r="R109" s="109"/>
      <c r="S109" s="88" t="b">
        <v>0</v>
      </c>
      <c r="U109" s="5" t="b">
        <f t="shared" si="4"/>
        <v>0</v>
      </c>
    </row>
    <row r="110" spans="1:21" x14ac:dyDescent="0.3">
      <c r="A110" s="84">
        <v>2293</v>
      </c>
      <c r="B110" s="140" t="str" cm="1">
        <f t="array" ref="B110">IFERROR(_xlfn.SWITCH(VLOOKUP($A110,#REF!,2,FALSE),#REF!,#REF!,#REF!,#REF!,#REF!,#REF!,#REF!,#REF!,#REF!,#REF!,#REF!,#REF!,#REF!,#REF!),"")</f>
        <v/>
      </c>
      <c r="C110" s="112" t="s">
        <v>306</v>
      </c>
      <c r="D110" s="144" t="str">
        <f>IFERROR(VLOOKUP($A110,#REF!,3,FALSE),"")</f>
        <v/>
      </c>
      <c r="E110" s="145" t="str">
        <f>IFERROR(VLOOKUP($A110,#REF!,5,FALSE),"")</f>
        <v/>
      </c>
      <c r="F110" s="84" t="s">
        <v>1</v>
      </c>
      <c r="G110" s="84" t="s">
        <v>35</v>
      </c>
      <c r="H110" s="85" t="s">
        <v>15</v>
      </c>
      <c r="I110" s="113"/>
      <c r="J110" s="156" t="s">
        <v>75</v>
      </c>
      <c r="K110" s="195">
        <f t="shared" si="7"/>
        <v>8000</v>
      </c>
      <c r="L110" s="90" t="s">
        <v>153</v>
      </c>
      <c r="M110" s="87" t="s">
        <v>80</v>
      </c>
      <c r="N110" s="126">
        <v>8000</v>
      </c>
      <c r="O110" s="87"/>
      <c r="P110" s="87"/>
      <c r="Q110" s="87"/>
      <c r="R110" s="87"/>
      <c r="S110" s="88" t="b">
        <v>0</v>
      </c>
      <c r="T110" s="207" t="s">
        <v>80</v>
      </c>
      <c r="U110" s="5" t="b">
        <f t="shared" si="4"/>
        <v>0</v>
      </c>
    </row>
    <row r="111" spans="1:21" x14ac:dyDescent="0.3">
      <c r="A111" s="132">
        <v>2293</v>
      </c>
      <c r="B111" s="143" t="str" cm="1">
        <f t="array" ref="B111">IFERROR(_xlfn.SWITCH(VLOOKUP($A111,#REF!,2,FALSE),#REF!,#REF!,#REF!,#REF!,#REF!,#REF!,#REF!,#REF!,#REF!,#REF!,#REF!,#REF!,#REF!,#REF!),"")</f>
        <v/>
      </c>
      <c r="C111" s="133" t="s">
        <v>306</v>
      </c>
      <c r="D111" s="150" t="str">
        <f>IFERROR(VLOOKUP($A111,#REF!,3,FALSE),"")</f>
        <v/>
      </c>
      <c r="E111" s="151" t="str">
        <f>IFERROR(VLOOKUP($A111,#REF!,5,FALSE),"")</f>
        <v/>
      </c>
      <c r="F111" s="132" t="s">
        <v>1</v>
      </c>
      <c r="G111" s="132" t="s">
        <v>23</v>
      </c>
      <c r="H111" s="134"/>
      <c r="I111" s="132"/>
      <c r="J111" s="135" t="s">
        <v>199</v>
      </c>
      <c r="K111" s="195">
        <f t="shared" si="7"/>
        <v>3000</v>
      </c>
      <c r="L111" s="136" t="s">
        <v>186</v>
      </c>
      <c r="M111" s="109"/>
      <c r="N111" s="128">
        <v>3000</v>
      </c>
      <c r="O111" s="108"/>
      <c r="P111" s="108"/>
      <c r="Q111" s="109"/>
      <c r="R111" s="109"/>
      <c r="S111" s="88" t="b">
        <v>1</v>
      </c>
      <c r="U111" s="5" t="b">
        <f t="shared" si="4"/>
        <v>0</v>
      </c>
    </row>
    <row r="112" spans="1:21" x14ac:dyDescent="0.3">
      <c r="A112" s="163">
        <v>2294</v>
      </c>
      <c r="B112" s="164" t="str" cm="1">
        <f t="array" ref="B112">IFERROR(_xlfn.SWITCH(VLOOKUP($A112,#REF!,2,FALSE),#REF!,#REF!,#REF!,#REF!,#REF!,#REF!,#REF!,#REF!,#REF!,#REF!,#REF!,#REF!,#REF!,#REF!),"")</f>
        <v/>
      </c>
      <c r="C112" s="191" t="s">
        <v>110</v>
      </c>
      <c r="D112" s="166" t="str">
        <f>IFERROR(VLOOKUP($A112,#REF!,3,FALSE),"")</f>
        <v/>
      </c>
      <c r="E112" s="167" t="str">
        <f>IFERROR(VLOOKUP($A112,#REF!,5,FALSE),"")</f>
        <v/>
      </c>
      <c r="F112" s="163" t="s">
        <v>1</v>
      </c>
      <c r="G112" s="163" t="s">
        <v>35</v>
      </c>
      <c r="H112" s="134"/>
      <c r="I112" s="163"/>
      <c r="J112" s="168" t="s">
        <v>216</v>
      </c>
      <c r="K112" s="195">
        <f t="shared" si="7"/>
        <v>8000</v>
      </c>
      <c r="L112" s="190" t="s">
        <v>217</v>
      </c>
      <c r="M112" s="109"/>
      <c r="N112" s="169">
        <v>8000</v>
      </c>
      <c r="O112" s="108"/>
      <c r="P112" s="108"/>
      <c r="Q112" s="109"/>
      <c r="R112" s="109"/>
      <c r="S112" s="88" t="b">
        <v>0</v>
      </c>
      <c r="U112" s="5" t="b">
        <f t="shared" si="4"/>
        <v>0</v>
      </c>
    </row>
    <row r="113" spans="1:21" x14ac:dyDescent="0.3">
      <c r="A113" s="106">
        <v>2324</v>
      </c>
      <c r="B113" s="141" t="str" cm="1">
        <f t="array" ref="B113">IFERROR(_xlfn.SWITCH(VLOOKUP($A113,#REF!,2,FALSE),#REF!,#REF!,#REF!,#REF!,#REF!,#REF!,#REF!,#REF!,#REF!,#REF!,#REF!,#REF!,#REF!,#REF!),"")</f>
        <v/>
      </c>
      <c r="C113" s="83" t="s">
        <v>109</v>
      </c>
      <c r="D113" s="146" t="str">
        <f>IFERROR(VLOOKUP($A113,#REF!,3,FALSE),"")</f>
        <v/>
      </c>
      <c r="E113" s="147" t="str">
        <f>IFERROR(VLOOKUP($A113,#REF!,5,FALSE),"")</f>
        <v/>
      </c>
      <c r="F113" s="84" t="s">
        <v>1</v>
      </c>
      <c r="G113" s="84" t="s">
        <v>129</v>
      </c>
      <c r="H113" s="85"/>
      <c r="I113" s="84"/>
      <c r="J113" s="156" t="s">
        <v>258</v>
      </c>
      <c r="K113" s="195">
        <f t="shared" si="7"/>
        <v>10000</v>
      </c>
      <c r="L113" s="86"/>
      <c r="M113" s="108"/>
      <c r="N113" s="127"/>
      <c r="O113" s="108">
        <v>10000</v>
      </c>
      <c r="P113" s="108"/>
      <c r="Q113" s="108"/>
      <c r="R113" s="108"/>
      <c r="S113" s="88" t="b">
        <v>0</v>
      </c>
      <c r="T113"/>
      <c r="U113" s="5" t="b">
        <f t="shared" si="4"/>
        <v>0</v>
      </c>
    </row>
    <row r="114" spans="1:21" x14ac:dyDescent="0.3">
      <c r="A114" s="84">
        <v>1718</v>
      </c>
      <c r="B114" s="140" t="str" cm="1">
        <f t="array" ref="B114">IFERROR(_xlfn.SWITCH(VLOOKUP($A114,#REF!,2,FALSE),#REF!,#REF!,#REF!,#REF!,#REF!,#REF!,#REF!,#REF!,#REF!,#REF!,#REF!,#REF!,#REF!,#REF!),"")</f>
        <v/>
      </c>
      <c r="C114" s="83" t="s">
        <v>103</v>
      </c>
      <c r="D114" s="144" t="str">
        <f>IFERROR(VLOOKUP($A114,#REF!,3,FALSE),"")</f>
        <v/>
      </c>
      <c r="E114" s="145" t="str">
        <f>IFERROR(VLOOKUP($A114,#REF!,5,FALSE),"")</f>
        <v/>
      </c>
      <c r="F114" s="84" t="s">
        <v>13</v>
      </c>
      <c r="G114" s="84" t="s">
        <v>32</v>
      </c>
      <c r="H114" s="85" t="s">
        <v>15</v>
      </c>
      <c r="I114" s="84"/>
      <c r="J114" s="158" t="s">
        <v>234</v>
      </c>
      <c r="K114" s="195">
        <f t="shared" si="7"/>
        <v>20000</v>
      </c>
      <c r="L114" s="116"/>
      <c r="M114" s="87"/>
      <c r="N114" s="126"/>
      <c r="O114" s="87"/>
      <c r="P114" s="87"/>
      <c r="Q114" s="87">
        <v>20000</v>
      </c>
      <c r="R114" s="87"/>
      <c r="S114" s="88" t="b">
        <v>0</v>
      </c>
      <c r="T114"/>
      <c r="U114" s="5" t="b">
        <f t="shared" si="4"/>
        <v>1</v>
      </c>
    </row>
    <row r="115" spans="1:21" x14ac:dyDescent="0.3">
      <c r="A115" s="84">
        <v>2294</v>
      </c>
      <c r="B115" s="140" t="str" cm="1">
        <f t="array" ref="B115">IFERROR(_xlfn.SWITCH(VLOOKUP($A115,#REF!,2,FALSE),#REF!,#REF!,#REF!,#REF!,#REF!,#REF!,#REF!,#REF!,#REF!,#REF!,#REF!,#REF!,#REF!,#REF!),"")</f>
        <v/>
      </c>
      <c r="C115" s="89" t="s">
        <v>110</v>
      </c>
      <c r="D115" s="144" t="str">
        <f>IFERROR(VLOOKUP($A115,#REF!,3,FALSE),"")</f>
        <v/>
      </c>
      <c r="E115" s="145" t="str">
        <f>IFERROR(VLOOKUP($A115,#REF!,5,FALSE),"")</f>
        <v/>
      </c>
      <c r="F115" s="84" t="s">
        <v>1</v>
      </c>
      <c r="G115" s="84" t="s">
        <v>54</v>
      </c>
      <c r="H115" s="85"/>
      <c r="I115" s="84"/>
      <c r="J115" s="156" t="s">
        <v>162</v>
      </c>
      <c r="K115" s="195">
        <f t="shared" si="7"/>
        <v>6000</v>
      </c>
      <c r="L115" s="90"/>
      <c r="M115" s="87">
        <v>6000</v>
      </c>
      <c r="N115" s="126">
        <v>6000</v>
      </c>
      <c r="O115" s="87"/>
      <c r="P115" s="87"/>
      <c r="Q115" s="87"/>
      <c r="R115" s="87"/>
      <c r="S115" s="88" t="b">
        <v>0</v>
      </c>
      <c r="U115" s="5" t="b">
        <f t="shared" si="4"/>
        <v>0</v>
      </c>
    </row>
    <row r="116" spans="1:21" ht="20.399999999999999" x14ac:dyDescent="0.3">
      <c r="A116" s="132">
        <v>2365</v>
      </c>
      <c r="B116" s="143" t="str" cm="1">
        <f t="array" ref="B116">IFERROR(_xlfn.SWITCH(VLOOKUP($A116,#REF!,2,FALSE),#REF!,#REF!,#REF!,#REF!,#REF!,#REF!,#REF!,#REF!,#REF!,#REF!,#REF!,#REF!,#REF!,#REF!),"")</f>
        <v/>
      </c>
      <c r="C116" s="133" t="s">
        <v>307</v>
      </c>
      <c r="D116" s="150" t="str">
        <f>IFERROR(VLOOKUP($A116,#REF!,3,FALSE),"")</f>
        <v/>
      </c>
      <c r="E116" s="151" t="str">
        <f>IFERROR(VLOOKUP($A116,#REF!,5,FALSE),"")</f>
        <v/>
      </c>
      <c r="F116" s="84" t="s">
        <v>1</v>
      </c>
      <c r="G116" s="84" t="s">
        <v>17</v>
      </c>
      <c r="H116" s="134"/>
      <c r="I116" s="132"/>
      <c r="J116" s="135" t="s">
        <v>254</v>
      </c>
      <c r="K116" s="195">
        <f t="shared" si="7"/>
        <v>27900</v>
      </c>
      <c r="L116" s="136" t="s">
        <v>186</v>
      </c>
      <c r="M116" s="109"/>
      <c r="N116" s="128">
        <v>10000</v>
      </c>
      <c r="O116" s="108"/>
      <c r="P116" s="108"/>
      <c r="Q116" s="109"/>
      <c r="R116" s="109">
        <v>17900</v>
      </c>
      <c r="S116" s="88" t="b">
        <v>1</v>
      </c>
      <c r="U116" s="5" t="b">
        <f t="shared" si="4"/>
        <v>1</v>
      </c>
    </row>
    <row r="117" spans="1:21" x14ac:dyDescent="0.3">
      <c r="A117" s="132"/>
      <c r="B117" s="143"/>
      <c r="C117" s="133"/>
      <c r="D117" s="150"/>
      <c r="E117" s="151"/>
      <c r="F117" s="84"/>
      <c r="G117" s="84"/>
      <c r="H117" s="134"/>
      <c r="I117" s="132"/>
      <c r="J117" s="135"/>
      <c r="K117" s="195">
        <f t="shared" si="7"/>
        <v>0</v>
      </c>
      <c r="L117" s="136"/>
      <c r="M117" s="109"/>
      <c r="N117" s="128"/>
      <c r="O117" s="108"/>
      <c r="P117" s="108"/>
      <c r="Q117" s="109"/>
      <c r="R117" s="109"/>
      <c r="S117" s="88" t="b">
        <v>1</v>
      </c>
      <c r="U117" s="5" t="b">
        <f t="shared" si="4"/>
        <v>0</v>
      </c>
    </row>
    <row r="118" spans="1:21" x14ac:dyDescent="0.3">
      <c r="A118" s="132"/>
      <c r="B118" s="143" t="str" cm="1">
        <f t="array" ref="B118">IFERROR(_xlfn.SWITCH(VLOOKUP($A118,#REF!,2,FALSE),#REF!,#REF!,#REF!,#REF!,#REF!,#REF!,#REF!,#REF!,#REF!,#REF!,#REF!,#REF!,#REF!,#REF!),"")</f>
        <v/>
      </c>
      <c r="C118" s="133"/>
      <c r="D118" s="150" t="str">
        <f>IFERROR(VLOOKUP($A118,#REF!,3,FALSE),"")</f>
        <v/>
      </c>
      <c r="E118" s="151" t="str">
        <f>IFERROR(VLOOKUP($A118,#REF!,5,FALSE),"")</f>
        <v/>
      </c>
      <c r="F118" s="84"/>
      <c r="G118" s="84"/>
      <c r="H118" s="134"/>
      <c r="I118" s="132"/>
      <c r="J118" s="135"/>
      <c r="K118" s="195"/>
      <c r="L118" s="136"/>
      <c r="M118" s="109"/>
      <c r="N118" s="128"/>
      <c r="O118" s="108"/>
      <c r="P118" s="108"/>
      <c r="Q118" s="109"/>
      <c r="R118" s="109"/>
      <c r="S118" s="88" t="b">
        <v>1</v>
      </c>
      <c r="U118" s="5" t="b">
        <f t="shared" si="4"/>
        <v>0</v>
      </c>
    </row>
    <row r="119" spans="1:21" x14ac:dyDescent="0.3">
      <c r="B119" s="130" t="str" cm="1">
        <f t="array" ref="B119">IFERROR(_xlfn.SWITCH(VLOOKUP($A119,#REF!,2,FALSE),#REF!,#REF!,#REF!,#REF!,#REF!,#REF!,#REF!,#REF!,#REF!,#REF!,#REF!,#REF!,#REF!,#REF!),"")</f>
        <v/>
      </c>
      <c r="D119" s="152" t="str">
        <f>IFERROR(VLOOKUP($A119,#REF!,3,FALSE),"")</f>
        <v/>
      </c>
      <c r="E119" s="153" t="str">
        <f>IFERROR(VLOOKUP($A119,#REF!,5,FALSE),"")</f>
        <v/>
      </c>
      <c r="N119" s="130"/>
      <c r="U119" s="207"/>
    </row>
    <row r="120" spans="1:21" x14ac:dyDescent="0.3">
      <c r="D120" s="6"/>
      <c r="E120" s="7"/>
      <c r="N120" s="130"/>
    </row>
    <row r="121" spans="1:21" x14ac:dyDescent="0.3">
      <c r="D121" s="6"/>
      <c r="E121" s="7"/>
      <c r="L121" s="22" t="s">
        <v>18</v>
      </c>
      <c r="M121" s="138">
        <f t="shared" ref="M121:R123" si="8">SUMIFS(M$3:M$119,$F$3:$F$119,$L121)</f>
        <v>33000</v>
      </c>
      <c r="N121" s="20">
        <f t="shared" si="8"/>
        <v>52000</v>
      </c>
      <c r="O121" s="20">
        <f t="shared" si="8"/>
        <v>52000</v>
      </c>
      <c r="P121" s="20">
        <f t="shared" si="8"/>
        <v>52000</v>
      </c>
      <c r="Q121" s="20">
        <f t="shared" si="8"/>
        <v>52000</v>
      </c>
      <c r="R121" s="20">
        <f t="shared" si="8"/>
        <v>52000</v>
      </c>
      <c r="S121" s="12"/>
    </row>
    <row r="122" spans="1:21" x14ac:dyDescent="0.3">
      <c r="D122" s="6"/>
      <c r="E122" s="7"/>
      <c r="L122" s="22" t="s">
        <v>13</v>
      </c>
      <c r="M122" s="138">
        <f t="shared" si="8"/>
        <v>52000</v>
      </c>
      <c r="N122" s="20">
        <f t="shared" si="8"/>
        <v>130000</v>
      </c>
      <c r="O122" s="20">
        <f t="shared" si="8"/>
        <v>130000</v>
      </c>
      <c r="P122" s="20">
        <f t="shared" si="8"/>
        <v>130000</v>
      </c>
      <c r="Q122" s="20">
        <f t="shared" si="8"/>
        <v>130000</v>
      </c>
      <c r="R122" s="20">
        <f t="shared" si="8"/>
        <v>130000</v>
      </c>
      <c r="S122" s="12"/>
    </row>
    <row r="123" spans="1:21" x14ac:dyDescent="0.3">
      <c r="D123" s="6"/>
      <c r="E123" s="7"/>
      <c r="L123" s="22" t="s">
        <v>1</v>
      </c>
      <c r="M123" s="138">
        <f t="shared" si="8"/>
        <v>94000</v>
      </c>
      <c r="N123" s="20">
        <f t="shared" si="8"/>
        <v>135000</v>
      </c>
      <c r="O123" s="20">
        <f t="shared" si="8"/>
        <v>140000</v>
      </c>
      <c r="P123" s="20">
        <f t="shared" si="8"/>
        <v>145000</v>
      </c>
      <c r="Q123" s="20">
        <f t="shared" si="8"/>
        <v>145000</v>
      </c>
      <c r="R123" s="20">
        <f t="shared" si="8"/>
        <v>147900</v>
      </c>
      <c r="S123" s="12"/>
    </row>
    <row r="124" spans="1:21" x14ac:dyDescent="0.3">
      <c r="D124" s="6"/>
      <c r="E124" s="7"/>
      <c r="L124" s="23"/>
      <c r="N124" s="130"/>
      <c r="S124" s="12"/>
    </row>
    <row r="125" spans="1:21" x14ac:dyDescent="0.3">
      <c r="D125" s="6"/>
      <c r="E125" s="7"/>
      <c r="L125" s="22" t="s">
        <v>18</v>
      </c>
      <c r="M125" s="139">
        <v>52000</v>
      </c>
      <c r="N125" s="131">
        <v>52000</v>
      </c>
      <c r="O125" s="21">
        <v>52000</v>
      </c>
      <c r="P125" s="21">
        <v>52000</v>
      </c>
      <c r="Q125" s="21">
        <v>52000</v>
      </c>
      <c r="R125" s="21">
        <v>52000</v>
      </c>
      <c r="S125" s="12"/>
    </row>
    <row r="126" spans="1:21" x14ac:dyDescent="0.3">
      <c r="D126" s="6"/>
      <c r="E126" s="7"/>
      <c r="L126" s="22" t="s">
        <v>13</v>
      </c>
      <c r="M126" s="139">
        <v>130000</v>
      </c>
      <c r="N126" s="131">
        <v>130000</v>
      </c>
      <c r="O126" s="21">
        <v>130000</v>
      </c>
      <c r="P126" s="21">
        <v>130000</v>
      </c>
      <c r="Q126" s="21">
        <v>130000</v>
      </c>
      <c r="R126" s="21">
        <v>130000</v>
      </c>
      <c r="S126" s="12"/>
    </row>
    <row r="127" spans="1:21" x14ac:dyDescent="0.3">
      <c r="D127" s="6"/>
      <c r="E127" s="7"/>
      <c r="L127" s="22" t="s">
        <v>1</v>
      </c>
      <c r="M127" s="139">
        <v>135000</v>
      </c>
      <c r="N127" s="131">
        <v>135000</v>
      </c>
      <c r="O127" s="21">
        <v>140000</v>
      </c>
      <c r="P127" s="21">
        <v>145000</v>
      </c>
      <c r="Q127" s="21">
        <v>145000</v>
      </c>
      <c r="R127" s="21">
        <v>147900</v>
      </c>
      <c r="S127" s="12"/>
    </row>
  </sheetData>
  <sheetProtection insertRows="0" selectLockedCells="1"/>
  <protectedRanges>
    <protectedRange algorithmName="SHA-512" hashValue="5GDw6QBfJeJ/YVgkx5qoW/YoJx4SRIT5Hsx4XTKmlMvVQ4V3/WYNcqT7KV6Neg6Ki7L+VN8+RemtkP4BSAsb2g==" saltValue="d3uuL0BcbFmE2WwVz6whUg==" spinCount="100000" sqref="D3:E118" name="NON MODIFIABLE_2" securityDescriptor="O:WDG:WDD:(A;;CC;;;S-1-5-21-1712602393-1279857024-316617838-18183)"/>
    <protectedRange algorithmName="SHA-512" hashValue="5GDw6QBfJeJ/YVgkx5qoW/YoJx4SRIT5Hsx4XTKmlMvVQ4V3/WYNcqT7KV6Neg6Ki7L+VN8+RemtkP4BSAsb2g==" saltValue="d3uuL0BcbFmE2WwVz6whUg==" spinCount="100000" sqref="S3:S118 S121:S127" name="NON MODIFIABLE_3" securityDescriptor="O:WDG:WDD:(A;;CC;;;S-1-5-21-1712602393-1279857024-316617838-18183)"/>
  </protectedRanges>
  <autoFilter ref="A2:U119" xr:uid="{0CAD033F-88E3-46E8-83CB-843D72295CA7}">
    <sortState xmlns:xlrd2="http://schemas.microsoft.com/office/spreadsheetml/2017/richdata2" ref="A4:U114">
      <sortCondition ref="J2:J119"/>
    </sortState>
  </autoFilter>
  <conditionalFormatting sqref="A95:T96 A114:T115">
    <cfRule type="expression" dxfId="5" priority="6">
      <formula>$A95&lt;&gt;$A97</formula>
    </cfRule>
  </conditionalFormatting>
  <conditionalFormatting sqref="A3:U3 A4:T94 U4:U118 A97:T113 A116:T118 A119:U119">
    <cfRule type="expression" dxfId="4" priority="5">
      <formula>$A3&lt;&gt;$A4</formula>
    </cfRule>
  </conditionalFormatting>
  <conditionalFormatting sqref="L1:L1048576">
    <cfRule type="containsText" dxfId="3" priority="1" operator="containsText" text="DEVIS">
      <formula>NOT(ISERROR(SEARCH("DEVIS",L1)))</formula>
    </cfRule>
  </conditionalFormatting>
  <conditionalFormatting sqref="M121:R123">
    <cfRule type="expression" dxfId="2" priority="3">
      <formula>M121=M125</formula>
    </cfRule>
    <cfRule type="expression" dxfId="1" priority="4">
      <formula>M121&gt;M125</formula>
    </cfRule>
  </conditionalFormatting>
  <conditionalFormatting sqref="M3:S118">
    <cfRule type="expression" dxfId="0" priority="2">
      <formula>AND(NOT(ISBLANK(#REF!)),ISBLANK(#REF!),ISBLANK($M3),ISBLANK($O3),ISBLANK($P3),ISBLANK($R3))</formula>
    </cfRule>
  </conditionalFormatting>
  <pageMargins left="0.25" right="0.25" top="0.75" bottom="0.75" header="0.3" footer="0.3"/>
  <pageSetup paperSize="9" scale="47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E4C8761-9570-4C75-8216-4C75D1913452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B4FCE20C-BA96-4272-BB07-8F55E2E3B1F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C19F20E-6E98-4F1F-9112-88ABC6778CC3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Prog 2025</vt:lpstr>
      <vt:lpstr>Prog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Suivi travaux secteur</dc:title>
  <dc:subject/>
  <dc:creator>Hamed CHEDLY</dc:creator>
  <cp:keywords/>
  <dc:description/>
  <cp:lastModifiedBy>Hamed CHEDLY</cp:lastModifiedBy>
  <cp:revision/>
  <cp:lastPrinted>2024-10-17T09:17:45Z</cp:lastPrinted>
  <dcterms:created xsi:type="dcterms:W3CDTF">2024-08-09T14:18:53Z</dcterms:created>
  <dcterms:modified xsi:type="dcterms:W3CDTF">2026-08-13T13:39:11Z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88328d-1296-4270-b00d-ecfae1f4c260_Enabled">
    <vt:lpwstr>true</vt:lpwstr>
  </property>
  <property fmtid="{D5CDD505-2E9C-101B-9397-08002B2CF9AE}" pid="3" name="MSIP_Label_bb88328d-1296-4270-b00d-ecfae1f4c260_SetDate">
    <vt:lpwstr>2024-10-08T12:50:36Z</vt:lpwstr>
  </property>
  <property fmtid="{D5CDD505-2E9C-101B-9397-08002B2CF9AE}" pid="4" name="MSIP_Label_bb88328d-1296-4270-b00d-ecfae1f4c260_Method">
    <vt:lpwstr>Privileged</vt:lpwstr>
  </property>
  <property fmtid="{D5CDD505-2E9C-101B-9397-08002B2CF9AE}" pid="5" name="MSIP_Label_bb88328d-1296-4270-b00d-ecfae1f4c260_Name">
    <vt:lpwstr>Restreint</vt:lpwstr>
  </property>
  <property fmtid="{D5CDD505-2E9C-101B-9397-08002B2CF9AE}" pid="6" name="MSIP_Label_bb88328d-1296-4270-b00d-ecfae1f4c260_SiteId">
    <vt:lpwstr>008ada3d-53c0-4172-8c56-c5fe0399133e</vt:lpwstr>
  </property>
  <property fmtid="{D5CDD505-2E9C-101B-9397-08002B2CF9AE}" pid="7" name="MSIP_Label_bb88328d-1296-4270-b00d-ecfae1f4c260_ActionId">
    <vt:lpwstr>115c769e-85eb-4eda-a538-4a5e843391f7</vt:lpwstr>
  </property>
  <property fmtid="{D5CDD505-2E9C-101B-9397-08002B2CF9AE}" pid="8" name="MSIP_Label_bb88328d-1296-4270-b00d-ecfae1f4c260_ContentBits">
    <vt:lpwstr>0</vt:lpwstr>
  </property>
</Properties>
</file>